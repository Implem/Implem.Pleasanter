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3" i="1" l="1"/>
  <c r="A162" i="1" l="1"/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0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6" i="1" l="1"/>
  <c r="A157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97" i="1" l="1"/>
  <c r="A196" i="1" l="1"/>
  <c r="A194" i="1"/>
  <c r="A161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1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59" i="1" l="1"/>
  <c r="A160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2" i="1"/>
  <c r="A153" i="1"/>
  <c r="A154" i="1"/>
  <c r="A155" i="1"/>
  <c r="A158" i="1"/>
  <c r="A193" i="1"/>
  <c r="A207" i="1"/>
  <c r="A208" i="1"/>
  <c r="A209" i="1"/>
</calcChain>
</file>

<file path=xl/sharedStrings.xml><?xml version="1.0" encoding="utf-8"?>
<sst xmlns="http://schemas.openxmlformats.org/spreadsheetml/2006/main" count="3771" uniqueCount="1001">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</sst>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67" totalsRowShown="0" headerRowDxfId="106" dataDxfId="105" tableBorderDxfId="104">
  <autoFilter ref="A1:CZ467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6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999</v>
      </c>
      <c r="CG1" s="3" t="s">
        <v>186</v>
      </c>
      <c r="CH1" s="3" t="s">
        <v>336</v>
      </c>
      <c r="CI1" s="3" t="s">
        <v>450</v>
      </c>
      <c r="CJ1" s="3" t="s">
        <v>984</v>
      </c>
      <c r="CK1" s="3" t="s">
        <v>985</v>
      </c>
      <c r="CL1" s="3" t="s">
        <v>989</v>
      </c>
      <c r="CM1" s="3" t="s">
        <v>986</v>
      </c>
      <c r="CN1" s="3" t="s">
        <v>988</v>
      </c>
      <c r="CO1" s="3" t="s">
        <v>987</v>
      </c>
      <c r="CP1" s="3" t="s">
        <v>185</v>
      </c>
      <c r="CQ1" s="3" t="s">
        <v>184</v>
      </c>
      <c r="CR1" s="3" t="s">
        <v>187</v>
      </c>
      <c r="CS1" s="3" t="s">
        <v>640</v>
      </c>
      <c r="CT1" s="3" t="s">
        <v>501</v>
      </c>
      <c r="CU1" s="3" t="s">
        <v>996</v>
      </c>
      <c r="CV1" s="3" t="s">
        <v>997</v>
      </c>
      <c r="CW1" s="3" t="s">
        <v>998</v>
      </c>
      <c r="CX1" s="3" t="s">
        <v>188</v>
      </c>
      <c r="CY1" s="3" t="s">
        <v>97</v>
      </c>
      <c r="CZ1" s="3" t="s">
        <v>983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1000</v>
      </c>
      <c r="CG2" s="13" t="s">
        <v>12</v>
      </c>
      <c r="CH2" s="13" t="s">
        <v>337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682</v>
      </c>
      <c r="CP2" s="13" t="s">
        <v>615</v>
      </c>
      <c r="CQ2" s="13" t="s">
        <v>615</v>
      </c>
      <c r="CR2" s="13" t="s">
        <v>615</v>
      </c>
      <c r="CS2" s="13" t="s">
        <v>12</v>
      </c>
      <c r="CT2" s="13" t="s">
        <v>12</v>
      </c>
      <c r="CU2" s="13" t="s">
        <v>615</v>
      </c>
      <c r="CV2" s="13" t="s">
        <v>615</v>
      </c>
      <c r="CW2" s="13" t="s">
        <v>615</v>
      </c>
      <c r="CX2" s="13" t="s">
        <v>189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955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>
        <v>1</v>
      </c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6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>
        <v>1</v>
      </c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>
        <v>1</v>
      </c>
      <c r="CK78" s="4"/>
      <c r="CL78" s="4"/>
      <c r="CM78" s="4"/>
      <c r="CN78" s="4" t="s">
        <v>990</v>
      </c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>
        <v>1</v>
      </c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981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6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 t="s">
        <v>982</v>
      </c>
    </row>
    <row r="87" spans="1:104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6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6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5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963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994</v>
      </c>
      <c r="CF92" s="5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453</v>
      </c>
      <c r="CJ102" s="4">
        <v>1</v>
      </c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453</v>
      </c>
      <c r="CJ103" s="4">
        <v>1</v>
      </c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453</v>
      </c>
      <c r="CJ104" s="4">
        <v>1</v>
      </c>
      <c r="CK104" s="4"/>
      <c r="CL104" s="4"/>
      <c r="CM104" s="4"/>
      <c r="CN104" s="4" t="s">
        <v>991</v>
      </c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458</v>
      </c>
      <c r="CJ105" s="4">
        <v>1</v>
      </c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458</v>
      </c>
      <c r="CJ106" s="4">
        <v>1</v>
      </c>
      <c r="CK106" s="4"/>
      <c r="CL106" s="4"/>
      <c r="CM106" s="4"/>
      <c r="CN106" s="4" t="s">
        <v>992</v>
      </c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/>
      <c r="CI108" s="4" t="s">
        <v>757</v>
      </c>
      <c r="CJ108" s="4">
        <v>1</v>
      </c>
      <c r="CK108" s="4"/>
      <c r="CL108" s="4"/>
      <c r="CM108" s="4">
        <v>1</v>
      </c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>
        <v>1</v>
      </c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>
        <v>1</v>
      </c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Items_Site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207</v>
      </c>
      <c r="H150" s="4" t="s">
        <v>282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208</v>
      </c>
      <c r="Y150" s="4" t="s">
        <v>208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 t="s">
        <v>240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Sites_TenantId</v>
      </c>
      <c r="B151" s="4" t="s">
        <v>29</v>
      </c>
      <c r="C151" s="4" t="s">
        <v>139</v>
      </c>
      <c r="D151" s="4"/>
      <c r="E151" s="4"/>
      <c r="F151" s="4" t="s">
        <v>282</v>
      </c>
      <c r="G151" s="4" t="s">
        <v>412</v>
      </c>
      <c r="H151" s="4" t="s">
        <v>407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409</v>
      </c>
      <c r="Y151" s="4"/>
      <c r="Z151" s="4"/>
      <c r="AA151" s="4"/>
      <c r="AB151" s="4"/>
      <c r="AC151" s="4">
        <v>1</v>
      </c>
      <c r="AD151" s="4"/>
      <c r="AE151" s="4">
        <v>1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462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Sites_SiteId</v>
      </c>
      <c r="B152" s="5" t="s">
        <v>29</v>
      </c>
      <c r="C152" s="4" t="s">
        <v>139</v>
      </c>
      <c r="D152" s="4"/>
      <c r="E152" s="4"/>
      <c r="F152" s="4" t="s">
        <v>347</v>
      </c>
      <c r="G152" s="4" t="s">
        <v>108</v>
      </c>
      <c r="H152" s="4" t="s">
        <v>281</v>
      </c>
      <c r="I152" s="4">
        <v>2</v>
      </c>
      <c r="J152" s="4">
        <v>2</v>
      </c>
      <c r="K152" s="4"/>
      <c r="L152" s="4"/>
      <c r="M152" s="4">
        <v>1</v>
      </c>
      <c r="N152" s="4"/>
      <c r="O152" s="4"/>
      <c r="P152" s="4"/>
      <c r="Q152" s="4">
        <v>1</v>
      </c>
      <c r="R152" s="4">
        <v>1</v>
      </c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2</v>
      </c>
      <c r="AH152" s="4"/>
      <c r="AI152" s="4">
        <v>1</v>
      </c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>
        <v>1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>
        <v>10</v>
      </c>
      <c r="BN152" s="4">
        <v>1</v>
      </c>
      <c r="BO152" s="4"/>
      <c r="BP152" s="4" t="s">
        <v>955</v>
      </c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Sites_ReferenceType</v>
      </c>
      <c r="B153" s="4" t="s">
        <v>29</v>
      </c>
      <c r="C153" s="4" t="s">
        <v>139</v>
      </c>
      <c r="D153" s="4"/>
      <c r="E153" s="4"/>
      <c r="F153" s="4" t="s">
        <v>347</v>
      </c>
      <c r="G153" s="4" t="s">
        <v>442</v>
      </c>
      <c r="H153" s="4" t="s">
        <v>959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101</v>
      </c>
      <c r="U153" s="4"/>
      <c r="V153" s="4">
        <v>101</v>
      </c>
      <c r="W153" s="4"/>
      <c r="X153" s="4" t="s">
        <v>3</v>
      </c>
      <c r="Y153" s="4"/>
      <c r="Z153" s="4"/>
      <c r="AA153" s="4">
        <v>32</v>
      </c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/>
      <c r="AL153" s="4"/>
      <c r="AM153" s="4"/>
      <c r="AN153" s="4" t="s">
        <v>139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 t="s">
        <v>663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Sites_ParentId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114</v>
      </c>
      <c r="H154" s="4" t="s">
        <v>280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Sites_InheritPermission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40</v>
      </c>
      <c r="H155" s="4" t="s">
        <v>607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103</v>
      </c>
      <c r="U155" s="4"/>
      <c r="V155" s="4">
        <v>103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Sites_PermissionType</v>
      </c>
      <c r="B156" s="4" t="s">
        <v>29</v>
      </c>
      <c r="C156" s="4" t="s">
        <v>139</v>
      </c>
      <c r="D156" s="4"/>
      <c r="E156" s="4"/>
      <c r="F156" s="4" t="s">
        <v>282</v>
      </c>
      <c r="G156" s="4" t="s">
        <v>143</v>
      </c>
      <c r="H156" s="4" t="s">
        <v>289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0</v>
      </c>
      <c r="Y156" s="4" t="s">
        <v>473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 t="s">
        <v>586</v>
      </c>
      <c r="BH156" s="4"/>
      <c r="BI156" s="4"/>
      <c r="BJ156" s="4"/>
      <c r="BK156" s="4" t="s">
        <v>754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Sites_SiteSettings</v>
      </c>
      <c r="B157" s="5" t="s">
        <v>379</v>
      </c>
      <c r="C157" s="4" t="s">
        <v>139</v>
      </c>
      <c r="D157" s="4"/>
      <c r="E157" s="4"/>
      <c r="F157" s="4" t="s">
        <v>347</v>
      </c>
      <c r="G157" s="4" t="s">
        <v>182</v>
      </c>
      <c r="H157" s="4" t="s">
        <v>279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43</v>
      </c>
      <c r="Y157" s="4" t="s">
        <v>182</v>
      </c>
      <c r="Z157" s="4" t="s">
        <v>840</v>
      </c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 t="s">
        <v>576</v>
      </c>
      <c r="BH157" s="4" t="s">
        <v>575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>
        <v>1</v>
      </c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Sites_Ancestors</v>
      </c>
      <c r="B158" s="4" t="s">
        <v>29</v>
      </c>
      <c r="C158" s="4" t="s">
        <v>139</v>
      </c>
      <c r="D158" s="4"/>
      <c r="E158" s="4"/>
      <c r="F158" s="4" t="s">
        <v>347</v>
      </c>
      <c r="G158" s="4" t="s">
        <v>41</v>
      </c>
      <c r="H158" s="4" t="s">
        <v>278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42</v>
      </c>
      <c r="Y158" s="4" t="s">
        <v>42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Sites_PermissionSourceCollection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174</v>
      </c>
      <c r="H159" s="4" t="s">
        <v>277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107</v>
      </c>
      <c r="U159" s="4"/>
      <c r="V159" s="4">
        <v>107</v>
      </c>
      <c r="W159" s="4"/>
      <c r="X159" s="4" t="s">
        <v>175</v>
      </c>
      <c r="Y159" s="4" t="s">
        <v>175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 t="s">
        <v>385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Sites_PermissionDestinationCollection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176</v>
      </c>
      <c r="H160" s="4" t="s">
        <v>276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108</v>
      </c>
      <c r="U160" s="4"/>
      <c r="V160" s="4">
        <v>108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Sites_SiteMenu</v>
      </c>
      <c r="B161" s="4" t="s">
        <v>29</v>
      </c>
      <c r="C161" s="4" t="s">
        <v>139</v>
      </c>
      <c r="D161" s="4"/>
      <c r="E161" s="4"/>
      <c r="F161" s="4" t="s">
        <v>282</v>
      </c>
      <c r="G161" s="4" t="s">
        <v>490</v>
      </c>
      <c r="H161" s="4" t="s">
        <v>491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109</v>
      </c>
      <c r="U161" s="4"/>
      <c r="V161" s="4">
        <v>109</v>
      </c>
      <c r="W161" s="4"/>
      <c r="X161" s="4" t="s">
        <v>492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Sites_MonitorChangesColumns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969</v>
      </c>
      <c r="H162" s="4" t="s">
        <v>967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110</v>
      </c>
      <c r="U162" s="4"/>
      <c r="V162" s="4">
        <v>110</v>
      </c>
      <c r="W162" s="4"/>
      <c r="X162" s="4" t="s">
        <v>968</v>
      </c>
      <c r="Y162" s="4" t="s">
        <v>968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240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 t="s">
        <v>970</v>
      </c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Sites_TitleColumns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978</v>
      </c>
      <c r="H163" s="4" t="s">
        <v>979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111</v>
      </c>
      <c r="U163" s="4"/>
      <c r="V163" s="4">
        <v>111</v>
      </c>
      <c r="W163" s="4"/>
      <c r="X163" s="4" t="s">
        <v>968</v>
      </c>
      <c r="Y163" s="4" t="s">
        <v>968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980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Orders_ReferenceId</v>
      </c>
      <c r="B164" s="4" t="s">
        <v>484</v>
      </c>
      <c r="C164" s="4" t="s">
        <v>483</v>
      </c>
      <c r="D164" s="4"/>
      <c r="E164" s="4"/>
      <c r="F164" s="4" t="s">
        <v>485</v>
      </c>
      <c r="G164" s="4" t="s">
        <v>443</v>
      </c>
      <c r="H164" s="4" t="s">
        <v>445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Orders_ReferenceType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442</v>
      </c>
      <c r="H165" s="4" t="s">
        <v>444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Orders_OwnerId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197</v>
      </c>
      <c r="H166" s="4" t="s">
        <v>334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5"/>
      <c r="CJ166" s="4"/>
      <c r="CK166" s="4"/>
      <c r="CL166" s="4"/>
      <c r="CM166" s="4"/>
      <c r="CN166" s="4"/>
      <c r="CO166" s="4"/>
      <c r="CP166" s="5"/>
      <c r="CQ166" s="5"/>
      <c r="CR166" s="5"/>
      <c r="CS166" s="5"/>
      <c r="CT166" s="5"/>
      <c r="CU166" s="5"/>
      <c r="CV166" s="5"/>
      <c r="CW166" s="5"/>
      <c r="CX166" s="5"/>
      <c r="CY166" s="4"/>
      <c r="CZ166" s="4"/>
    </row>
    <row r="167" spans="1:104" x14ac:dyDescent="0.2">
      <c r="A167" s="4" t="str">
        <f>Column!$C167&amp;"_"&amp;Column!$G167</f>
        <v>Orders_Data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488</v>
      </c>
      <c r="H167" s="4" t="s">
        <v>485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486</v>
      </c>
      <c r="Y167" s="4" t="s">
        <v>487</v>
      </c>
      <c r="Z167" s="4" t="s">
        <v>340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489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 t="s">
        <v>590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ExportSettings_ReferenceType</v>
      </c>
      <c r="B168" s="4" t="s">
        <v>344</v>
      </c>
      <c r="C168" s="4" t="s">
        <v>343</v>
      </c>
      <c r="D168" s="4"/>
      <c r="E168" s="4"/>
      <c r="F168" s="4" t="s">
        <v>345</v>
      </c>
      <c r="G168" s="4" t="s">
        <v>442</v>
      </c>
      <c r="H168" s="4" t="s">
        <v>444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139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ExportSettings_ReferenceId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359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ExportSettings_Title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356</v>
      </c>
      <c r="H170" s="4" t="s">
        <v>357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43</v>
      </c>
      <c r="Y170" s="4" t="s">
        <v>372</v>
      </c>
      <c r="Z170" s="4" t="s">
        <v>373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 t="s">
        <v>381</v>
      </c>
      <c r="BG170" s="4" t="s">
        <v>584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ExportSettings_ExportSettingId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361</v>
      </c>
      <c r="H171" s="4" t="s">
        <v>367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359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ExportSettings_AddHeader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362</v>
      </c>
      <c r="H172" s="4" t="s">
        <v>364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365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ExportSettings_ExportColumns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363</v>
      </c>
      <c r="H173" s="4" t="s">
        <v>358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360</v>
      </c>
      <c r="Y173" s="4" t="s">
        <v>366</v>
      </c>
      <c r="Z173" s="4" t="s">
        <v>340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591</v>
      </c>
      <c r="BH173" s="4" t="s">
        <v>446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Links_DestinationId</v>
      </c>
      <c r="B174" s="4" t="s">
        <v>520</v>
      </c>
      <c r="C174" s="4" t="s">
        <v>519</v>
      </c>
      <c r="D174" s="4"/>
      <c r="E174" s="4"/>
      <c r="F174" s="4" t="s">
        <v>518</v>
      </c>
      <c r="G174" s="4" t="s">
        <v>531</v>
      </c>
      <c r="H174" s="4" t="s">
        <v>530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521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Links_SourceId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532</v>
      </c>
      <c r="H175" s="4" t="s">
        <v>529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521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Links_ReferenceType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442</v>
      </c>
      <c r="H176" s="4" t="s">
        <v>444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522</v>
      </c>
      <c r="AT176" s="4" t="s">
        <v>523</v>
      </c>
      <c r="AU176" s="4" t="s">
        <v>573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Links_SiteId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627</v>
      </c>
      <c r="H177" s="4" t="s">
        <v>628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Links_Title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655</v>
      </c>
      <c r="H178" s="4" t="s">
        <v>654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Links_Subset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626</v>
      </c>
      <c r="H179" s="4" t="s">
        <v>625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Links_SiteTitle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525</v>
      </c>
      <c r="H180" s="4" t="s">
        <v>524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139</v>
      </c>
      <c r="AT180" s="4" t="s">
        <v>523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 t="s">
        <v>645</v>
      </c>
      <c r="BL180" s="4" t="s">
        <v>528</v>
      </c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Binaries_ReferenceId</v>
      </c>
      <c r="B181" s="4" t="s">
        <v>688</v>
      </c>
      <c r="C181" s="4" t="s">
        <v>689</v>
      </c>
      <c r="D181" s="4"/>
      <c r="E181" s="4"/>
      <c r="F181" s="4" t="s">
        <v>690</v>
      </c>
      <c r="G181" s="4" t="s">
        <v>704</v>
      </c>
      <c r="H181" s="4" t="s">
        <v>445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Binaries_BinaryId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691</v>
      </c>
      <c r="H182" s="4" t="s">
        <v>698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Binaries_BinaryType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710</v>
      </c>
      <c r="H183" s="4" t="s">
        <v>711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Binaries_Title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692</v>
      </c>
      <c r="H184" s="4" t="s">
        <v>285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71</v>
      </c>
      <c r="Z184" s="4" t="s">
        <v>233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381</v>
      </c>
      <c r="BG184" s="4" t="s">
        <v>584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Binaries_Body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693</v>
      </c>
      <c r="H185" s="4" t="s">
        <v>699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239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Binaries_Bin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694</v>
      </c>
      <c r="H186" s="4" t="s">
        <v>700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394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 t="s">
        <v>397</v>
      </c>
      <c r="BG186" s="4" t="s">
        <v>592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Binaries_Thumbnail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708</v>
      </c>
      <c r="H187" s="4" t="s">
        <v>706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Binaries_Icon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709</v>
      </c>
      <c r="H188" s="4" t="s">
        <v>707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Binaries_FileName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695</v>
      </c>
      <c r="H189" s="4" t="s">
        <v>391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Binaries_Extension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696</v>
      </c>
      <c r="H190" s="4" t="s">
        <v>392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Binaries_Size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389</v>
      </c>
      <c r="H191" s="4" t="s">
        <v>393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395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Binaries_BinarySettings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697</v>
      </c>
      <c r="H192" s="4" t="s">
        <v>701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705</v>
      </c>
      <c r="Z192" s="4" t="s">
        <v>339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702</v>
      </c>
      <c r="BH192" s="4" t="s">
        <v>703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Issues_IssueId</v>
      </c>
      <c r="B193" s="4" t="s">
        <v>37</v>
      </c>
      <c r="C193" s="4" t="s">
        <v>140</v>
      </c>
      <c r="D193" s="4"/>
      <c r="E193" s="4"/>
      <c r="F193" s="4" t="s">
        <v>714</v>
      </c>
      <c r="G193" s="4" t="s">
        <v>115</v>
      </c>
      <c r="H193" s="4" t="s">
        <v>841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>
        <v>20</v>
      </c>
      <c r="BN193" s="4">
        <v>1</v>
      </c>
      <c r="BO193" s="4"/>
      <c r="BP193" s="4" t="s">
        <v>955</v>
      </c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>
        <v>1</v>
      </c>
      <c r="CZ193" s="4"/>
    </row>
    <row r="194" spans="1:104" x14ac:dyDescent="0.2">
      <c r="A194" s="4" t="str">
        <f>Column!$C194&amp;"_"&amp;Column!$G194</f>
        <v>Issues_StartTime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494</v>
      </c>
      <c r="H194" s="4" t="s">
        <v>493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200</v>
      </c>
      <c r="BC194" s="4"/>
      <c r="BD194" s="4"/>
      <c r="BE194" s="4"/>
      <c r="BF194" s="4" t="s">
        <v>632</v>
      </c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508</v>
      </c>
      <c r="CA194" s="4" t="s">
        <v>507</v>
      </c>
      <c r="CB194" s="4" t="s">
        <v>507</v>
      </c>
      <c r="CC194" s="4"/>
      <c r="CD194" s="4"/>
      <c r="CE194" s="4"/>
      <c r="CF194" s="4"/>
      <c r="CG194" s="4">
        <v>0</v>
      </c>
      <c r="CH194" s="4"/>
      <c r="CI194" s="4"/>
      <c r="CJ194" s="4"/>
      <c r="CK194" s="4"/>
      <c r="CL194" s="4"/>
      <c r="CM194" s="4"/>
      <c r="CN194" s="4"/>
      <c r="CO194" s="4"/>
      <c r="CP194" s="4">
        <v>-365</v>
      </c>
      <c r="CQ194" s="4">
        <v>365</v>
      </c>
      <c r="CR194" s="4">
        <v>1</v>
      </c>
      <c r="CS194" s="4"/>
      <c r="CT194" s="4"/>
      <c r="CU194" s="4"/>
      <c r="CV194" s="4"/>
      <c r="CW194" s="4"/>
      <c r="CX194" s="4">
        <v>50</v>
      </c>
      <c r="CY194" s="4"/>
      <c r="CZ194" s="4"/>
    </row>
    <row r="195" spans="1:104" x14ac:dyDescent="0.2">
      <c r="A195" s="4" t="str">
        <f>Column!$C195&amp;"_"&amp;Column!$G195</f>
        <v>Issues_CompletionTime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515</v>
      </c>
      <c r="H195" s="4" t="s">
        <v>616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515</v>
      </c>
      <c r="Z195" s="4" t="s">
        <v>233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631</v>
      </c>
      <c r="BG195" s="4"/>
      <c r="BH195" s="4"/>
      <c r="BI195" s="4"/>
      <c r="BJ195" s="4" t="s">
        <v>846</v>
      </c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9" t="s">
        <v>183</v>
      </c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/>
      <c r="CG195" s="4">
        <v>7</v>
      </c>
      <c r="CH195" s="4"/>
      <c r="CI195" s="4"/>
      <c r="CJ195" s="4">
        <v>1</v>
      </c>
      <c r="CK195" s="4"/>
      <c r="CL195" s="4">
        <v>1</v>
      </c>
      <c r="CM195" s="4"/>
      <c r="CN195" s="4"/>
      <c r="CO195" s="4"/>
      <c r="CP195" s="4">
        <v>-365</v>
      </c>
      <c r="CQ195" s="4">
        <v>365</v>
      </c>
      <c r="CR195" s="4">
        <v>1</v>
      </c>
      <c r="CS195" s="4"/>
      <c r="CT195" s="4"/>
      <c r="CU195" s="4"/>
      <c r="CV195" s="4"/>
      <c r="CW195" s="4"/>
      <c r="CX195" s="4">
        <v>50</v>
      </c>
      <c r="CY195" s="4">
        <v>1</v>
      </c>
      <c r="CZ195" s="4"/>
    </row>
    <row r="196" spans="1:104" x14ac:dyDescent="0.2">
      <c r="A196" s="4" t="str">
        <f>Column!$C196&amp;"_"&amp;Column!$G196</f>
        <v>Issues_WorkValue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577</v>
      </c>
      <c r="H196" s="4" t="s">
        <v>495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499</v>
      </c>
      <c r="Y196" s="4" t="s">
        <v>577</v>
      </c>
      <c r="Z196" s="4" t="s">
        <v>233</v>
      </c>
      <c r="AA196" s="4"/>
      <c r="AB196" s="4" t="s">
        <v>851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956</v>
      </c>
      <c r="BG196" s="4" t="s">
        <v>587</v>
      </c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610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>
        <v>1</v>
      </c>
      <c r="CP196" s="4">
        <v>0</v>
      </c>
      <c r="CQ196" s="4">
        <v>100</v>
      </c>
      <c r="CR196" s="4">
        <v>0.1</v>
      </c>
      <c r="CS196" s="4"/>
      <c r="CT196" s="4" t="s">
        <v>504</v>
      </c>
      <c r="CU196" s="4">
        <v>0</v>
      </c>
      <c r="CV196" s="4">
        <v>100</v>
      </c>
      <c r="CW196" s="4">
        <v>25</v>
      </c>
      <c r="CX196" s="4"/>
      <c r="CY196" s="4"/>
      <c r="CZ196" s="4"/>
    </row>
    <row r="197" spans="1:104" x14ac:dyDescent="0.2">
      <c r="A197" s="4" t="str">
        <f>Column!$C197&amp;"_"&amp;Column!$G197</f>
        <v>Issues_ProgressRate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497</v>
      </c>
      <c r="H197" s="4" t="s">
        <v>496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499</v>
      </c>
      <c r="Y197" s="4" t="s">
        <v>497</v>
      </c>
      <c r="Z197" s="4" t="s">
        <v>233</v>
      </c>
      <c r="AA197" s="4"/>
      <c r="AB197" s="4" t="s">
        <v>503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957</v>
      </c>
      <c r="BG197" s="4" t="s">
        <v>588</v>
      </c>
      <c r="BH197" s="4"/>
      <c r="BI197" s="4"/>
      <c r="BJ197" s="4" t="s">
        <v>516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>
        <v>1</v>
      </c>
      <c r="CP197" s="4">
        <v>0</v>
      </c>
      <c r="CQ197" s="4">
        <v>100</v>
      </c>
      <c r="CR197" s="4">
        <v>0.1</v>
      </c>
      <c r="CS197" s="4"/>
      <c r="CT197" s="4" t="s">
        <v>502</v>
      </c>
      <c r="CU197" s="4">
        <v>0</v>
      </c>
      <c r="CV197" s="4">
        <v>100</v>
      </c>
      <c r="CW197" s="4">
        <v>25</v>
      </c>
      <c r="CX197" s="4"/>
      <c r="CY197" s="4"/>
      <c r="CZ197" s="4"/>
    </row>
    <row r="198" spans="1:104" x14ac:dyDescent="0.2">
      <c r="A198" s="4" t="str">
        <f>Column!$C198&amp;"_"&amp;Column!$G198</f>
        <v>Issues_RemainingWorkValue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637</v>
      </c>
      <c r="H198" s="4" t="s">
        <v>638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499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 t="s">
        <v>657</v>
      </c>
      <c r="AZ198" s="4" t="s">
        <v>657</v>
      </c>
      <c r="BA198" s="4"/>
      <c r="BB198" s="4"/>
      <c r="BC198" s="4">
        <v>1</v>
      </c>
      <c r="BD198" s="4"/>
      <c r="BE198" s="4">
        <v>1</v>
      </c>
      <c r="BF198" s="4"/>
      <c r="BG198" s="4"/>
      <c r="BH198" s="4"/>
      <c r="BI198" s="4"/>
      <c r="BJ198" s="4"/>
      <c r="BK198" s="4" t="s">
        <v>642</v>
      </c>
      <c r="BL198" s="4"/>
      <c r="BM198" s="4"/>
      <c r="BN198" s="4"/>
      <c r="BO198" s="4"/>
      <c r="BP198" s="4" t="s">
        <v>955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>
        <v>1</v>
      </c>
      <c r="CP198" s="4"/>
      <c r="CQ198" s="4"/>
      <c r="CR198" s="4"/>
      <c r="CS198" s="10" t="s">
        <v>641</v>
      </c>
      <c r="CT198" s="4" t="s">
        <v>639</v>
      </c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Issues_Status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51</v>
      </c>
      <c r="H199" s="4" t="s">
        <v>256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232</v>
      </c>
      <c r="Z199" s="4" t="s">
        <v>233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>
        <v>200</v>
      </c>
      <c r="BC199" s="4"/>
      <c r="BD199" s="4"/>
      <c r="BE199" s="4"/>
      <c r="BF199" s="4" t="s">
        <v>630</v>
      </c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213</v>
      </c>
      <c r="BQ199" s="4"/>
      <c r="BR199" s="4"/>
      <c r="BS199" s="4"/>
      <c r="BT199" s="4"/>
      <c r="BU199" s="4"/>
      <c r="BV199" s="4"/>
      <c r="BW199" s="4"/>
      <c r="BX199" s="4"/>
      <c r="BY199" s="9" t="s">
        <v>387</v>
      </c>
      <c r="BZ199" s="9"/>
      <c r="CA199" s="9"/>
      <c r="CB199" s="9"/>
      <c r="CC199" s="9">
        <v>1</v>
      </c>
      <c r="CD199" s="9"/>
      <c r="CE199" s="5" t="s">
        <v>614</v>
      </c>
      <c r="CF199" s="5"/>
      <c r="CG199" s="5"/>
      <c r="CH199" s="5"/>
      <c r="CI199" s="5"/>
      <c r="CJ199" s="4"/>
      <c r="CK199" s="4"/>
      <c r="CL199" s="4"/>
      <c r="CM199" s="4"/>
      <c r="CN199" s="4"/>
      <c r="CO199" s="4"/>
      <c r="CP199" s="5"/>
      <c r="CQ199" s="5"/>
      <c r="CR199" s="5"/>
      <c r="CS199" s="5"/>
      <c r="CT199" s="5"/>
      <c r="CU199" s="5"/>
      <c r="CV199" s="5"/>
      <c r="CW199" s="5"/>
      <c r="CX199" s="5"/>
      <c r="CY199" s="4">
        <v>1</v>
      </c>
      <c r="CZ199" s="4"/>
    </row>
    <row r="200" spans="1:104" x14ac:dyDescent="0.2">
      <c r="A200" s="4" t="str">
        <f>Column!$C200&amp;"_"&amp;Column!$G200</f>
        <v>Issues_Manager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603</v>
      </c>
      <c r="H200" s="4" t="s">
        <v>275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149</v>
      </c>
      <c r="Y200" s="4" t="s">
        <v>598</v>
      </c>
      <c r="Z200" s="4" t="s">
        <v>605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100</v>
      </c>
      <c r="BC200" s="4"/>
      <c r="BD200" s="4"/>
      <c r="BE200" s="4"/>
      <c r="BF200" s="4" t="s">
        <v>599</v>
      </c>
      <c r="BG200" s="4" t="s">
        <v>600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533</v>
      </c>
      <c r="CF200" s="5"/>
      <c r="CG200" s="5"/>
      <c r="CH200" s="5">
        <v>1</v>
      </c>
      <c r="CI200" s="5"/>
      <c r="CJ200" s="4"/>
      <c r="CK200" s="4"/>
      <c r="CL200" s="4"/>
      <c r="CM200" s="4"/>
      <c r="CN200" s="4"/>
      <c r="CO200" s="4"/>
      <c r="CP200" s="5"/>
      <c r="CQ200" s="5"/>
      <c r="CR200" s="5"/>
      <c r="CS200" s="5"/>
      <c r="CT200" s="5"/>
      <c r="CU200" s="5"/>
      <c r="CV200" s="5"/>
      <c r="CW200" s="5"/>
      <c r="CX200" s="5"/>
      <c r="CY200" s="4">
        <v>1</v>
      </c>
      <c r="CZ200" s="4"/>
    </row>
    <row r="201" spans="1:104" x14ac:dyDescent="0.2">
      <c r="A201" s="4" t="str">
        <f>Column!$C201&amp;"_"&amp;Column!$G201</f>
        <v>Issues_Owner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604</v>
      </c>
      <c r="H201" s="4" t="s">
        <v>274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/>
      <c r="CH201" s="5">
        <v>1</v>
      </c>
      <c r="CI201" s="5"/>
      <c r="CJ201" s="4"/>
      <c r="CK201" s="4"/>
      <c r="CL201" s="4"/>
      <c r="CM201" s="4"/>
      <c r="CN201" s="4"/>
      <c r="CO201" s="4"/>
      <c r="CP201" s="5"/>
      <c r="CQ201" s="5"/>
      <c r="CR201" s="5"/>
      <c r="CS201" s="5"/>
      <c r="CT201" s="5"/>
      <c r="CU201" s="5"/>
      <c r="CV201" s="5"/>
      <c r="CW201" s="5"/>
      <c r="CX201" s="5"/>
      <c r="CY201" s="4">
        <v>1</v>
      </c>
      <c r="CZ201" s="4"/>
    </row>
    <row r="202" spans="1:104" x14ac:dyDescent="0.2">
      <c r="A202" s="4" t="str">
        <f>Column!$C202&amp;"_"&amp;Column!$G202</f>
        <v>Issues_ClassA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44</v>
      </c>
      <c r="H202" s="4" t="s">
        <v>248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43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5"/>
      <c r="CJ202" s="4"/>
      <c r="CK202" s="4"/>
      <c r="CL202" s="4"/>
      <c r="CM202" s="4"/>
      <c r="CN202" s="4"/>
      <c r="CO202" s="4"/>
      <c r="CP202" s="5"/>
      <c r="CQ202" s="5"/>
      <c r="CR202" s="5"/>
      <c r="CS202" s="5"/>
      <c r="CT202" s="5"/>
      <c r="CU202" s="5"/>
      <c r="CV202" s="5"/>
      <c r="CW202" s="5"/>
      <c r="CX202" s="5"/>
      <c r="CY202" s="4">
        <v>1</v>
      </c>
      <c r="CZ202" s="4"/>
    </row>
    <row r="203" spans="1:104" x14ac:dyDescent="0.2">
      <c r="A203" s="4" t="str">
        <f>Column!$C203&amp;"_"&amp;Column!$G203</f>
        <v>Issues_ClassB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45</v>
      </c>
      <c r="H203" s="4" t="s">
        <v>249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5"/>
      <c r="CJ203" s="4"/>
      <c r="CK203" s="4"/>
      <c r="CL203" s="4"/>
      <c r="CM203" s="4"/>
      <c r="CN203" s="4"/>
      <c r="CO203" s="4"/>
      <c r="CP203" s="5"/>
      <c r="CQ203" s="5"/>
      <c r="CR203" s="5"/>
      <c r="CS203" s="5"/>
      <c r="CT203" s="5"/>
      <c r="CU203" s="5"/>
      <c r="CV203" s="5"/>
      <c r="CW203" s="5"/>
      <c r="CX203" s="5"/>
      <c r="CY203" s="4">
        <v>1</v>
      </c>
      <c r="CZ203" s="4"/>
    </row>
    <row r="204" spans="1:104" x14ac:dyDescent="0.2">
      <c r="A204" s="4" t="str">
        <f>Column!$C204&amp;"_"&amp;Column!$G204</f>
        <v>Issues_ClassC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46</v>
      </c>
      <c r="H204" s="4" t="s">
        <v>250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5"/>
      <c r="CJ204" s="4"/>
      <c r="CK204" s="4"/>
      <c r="CL204" s="4"/>
      <c r="CM204" s="4"/>
      <c r="CN204" s="4"/>
      <c r="CO204" s="4"/>
      <c r="CP204" s="5"/>
      <c r="CQ204" s="5"/>
      <c r="CR204" s="5"/>
      <c r="CS204" s="5"/>
      <c r="CT204" s="5"/>
      <c r="CU204" s="5"/>
      <c r="CV204" s="5"/>
      <c r="CW204" s="5"/>
      <c r="CX204" s="5"/>
      <c r="CY204" s="4">
        <v>1</v>
      </c>
      <c r="CZ204" s="4"/>
    </row>
    <row r="205" spans="1:104" x14ac:dyDescent="0.2">
      <c r="A205" s="4" t="str">
        <f>Column!$C205&amp;"_"&amp;Column!$G205</f>
        <v>Issues_ClassD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47</v>
      </c>
      <c r="H205" s="4" t="s">
        <v>251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</row>
    <row r="206" spans="1:104" x14ac:dyDescent="0.2">
      <c r="A206" s="4" t="str">
        <f>Column!$C206&amp;"_"&amp;Column!$G206</f>
        <v>Issues_ClassE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48</v>
      </c>
      <c r="H206" s="4" t="s">
        <v>252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Issues_ClassF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49</v>
      </c>
      <c r="H207" s="4" t="s">
        <v>253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</row>
    <row r="208" spans="1:104" x14ac:dyDescent="0.2">
      <c r="A208" s="4" t="str">
        <f>Column!$C208&amp;"_"&amp;Column!$G208</f>
        <v>Issues_ClassG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50</v>
      </c>
      <c r="H208" s="4" t="s">
        <v>254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</row>
    <row r="209" spans="1:104" x14ac:dyDescent="0.2">
      <c r="A209" s="4" t="str">
        <f>Column!$C209&amp;"_"&amp;Column!$G209</f>
        <v>Issues_ClassH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195</v>
      </c>
      <c r="H209" s="4" t="s">
        <v>255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</row>
    <row r="210" spans="1:104" x14ac:dyDescent="0.2">
      <c r="A210" s="4" t="str">
        <f>Column!$C210&amp;"_"&amp;Column!$G210</f>
        <v>Issues_ClassI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674</v>
      </c>
      <c r="H210" s="4" t="s">
        <v>666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/>
      <c r="CZ210" s="4"/>
    </row>
    <row r="211" spans="1:104" x14ac:dyDescent="0.2">
      <c r="A211" s="4" t="str">
        <f>Column!$C211&amp;"_"&amp;Column!$G211</f>
        <v>Issues_ClassJ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675</v>
      </c>
      <c r="H211" s="4" t="s">
        <v>667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/>
      <c r="CZ211" s="4"/>
    </row>
    <row r="212" spans="1:104" x14ac:dyDescent="0.2">
      <c r="A212" s="4" t="str">
        <f>Column!$C212&amp;"_"&amp;Column!$G212</f>
        <v>Issues_ClassK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676</v>
      </c>
      <c r="H212" s="4" t="s">
        <v>668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/>
      <c r="CZ212" s="4"/>
    </row>
    <row r="213" spans="1:104" x14ac:dyDescent="0.2">
      <c r="A213" s="4" t="str">
        <f>Column!$C213&amp;"_"&amp;Column!$G213</f>
        <v>Issues_ClassL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677</v>
      </c>
      <c r="H213" s="4" t="s">
        <v>669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Issues_ClassM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678</v>
      </c>
      <c r="H214" s="4" t="s">
        <v>670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Issues_ClassN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679</v>
      </c>
      <c r="H215" s="4" t="s">
        <v>671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Issues_ClassO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680</v>
      </c>
      <c r="H216" s="4" t="s">
        <v>672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Issues_ClassP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681</v>
      </c>
      <c r="H217" s="4" t="s">
        <v>673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Issues_ClassQ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854</v>
      </c>
      <c r="H218" s="4" t="s">
        <v>904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Issues_ClassR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855</v>
      </c>
      <c r="H219" s="4" t="s">
        <v>905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Issues_ClassS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856</v>
      </c>
      <c r="H220" s="4" t="s">
        <v>906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</row>
    <row r="221" spans="1:104" x14ac:dyDescent="0.2">
      <c r="A221" s="4" t="str">
        <f>Column!$C221&amp;"_"&amp;Column!$G221</f>
        <v>Issues_ClassT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857</v>
      </c>
      <c r="H221" s="4" t="s">
        <v>907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Issues_ClassU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858</v>
      </c>
      <c r="H222" s="4" t="s">
        <v>908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Issues_ClassV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859</v>
      </c>
      <c r="H223" s="4" t="s">
        <v>909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Issues_ClassW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860</v>
      </c>
      <c r="H224" s="4" t="s">
        <v>910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Issues_ClassX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861</v>
      </c>
      <c r="H225" s="4" t="s">
        <v>911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Issues_ClassY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862</v>
      </c>
      <c r="H226" s="4" t="s">
        <v>912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Issues_ClassZ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863</v>
      </c>
      <c r="H227" s="4" t="s">
        <v>913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8" t="str">
        <f>Column!$C228&amp;"_"&amp;Column!$G228</f>
        <v>Issues_NumA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536</v>
      </c>
      <c r="H228" s="4" t="s">
        <v>544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>
        <v>1</v>
      </c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499</v>
      </c>
      <c r="Y228" s="4"/>
      <c r="Z228" s="4"/>
      <c r="AA228" s="4"/>
      <c r="AB228" s="4" t="s">
        <v>851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958</v>
      </c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/>
      <c r="CJ228" s="4"/>
      <c r="CK228" s="4">
        <v>1</v>
      </c>
      <c r="CL228" s="4"/>
      <c r="CM228" s="4"/>
      <c r="CN228" s="4"/>
      <c r="CO228" s="4"/>
      <c r="CP228" s="4"/>
      <c r="CQ228" s="4"/>
      <c r="CR228" s="4"/>
      <c r="CS228" s="4"/>
      <c r="CT228" s="4"/>
      <c r="CU228" s="4">
        <v>0</v>
      </c>
      <c r="CV228" s="4">
        <v>10000</v>
      </c>
      <c r="CW228" s="4">
        <v>1000</v>
      </c>
      <c r="CX228" s="4"/>
      <c r="CY228" s="4"/>
      <c r="CZ228" s="4"/>
    </row>
    <row r="229" spans="1:104" x14ac:dyDescent="0.2">
      <c r="A229" s="8" t="str">
        <f>Column!$C229&amp;"_"&amp;Column!$G229</f>
        <v>Issues_NumB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537</v>
      </c>
      <c r="H229" s="4" t="s">
        <v>545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>
        <v>1</v>
      </c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499</v>
      </c>
      <c r="Y229" s="4"/>
      <c r="Z229" s="4"/>
      <c r="AA229" s="4"/>
      <c r="AB229" s="4" t="s">
        <v>851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958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/>
      <c r="CK229" s="4">
        <v>1</v>
      </c>
      <c r="CL229" s="4"/>
      <c r="CM229" s="4"/>
      <c r="CN229" s="4"/>
      <c r="CO229" s="4"/>
      <c r="CP229" s="4"/>
      <c r="CQ229" s="4"/>
      <c r="CR229" s="4"/>
      <c r="CS229" s="4"/>
      <c r="CT229" s="4"/>
      <c r="CU229" s="4">
        <v>0</v>
      </c>
      <c r="CV229" s="4">
        <v>10000</v>
      </c>
      <c r="CW229" s="4">
        <v>1000</v>
      </c>
      <c r="CX229" s="4"/>
      <c r="CY229" s="4"/>
      <c r="CZ229" s="4"/>
    </row>
    <row r="230" spans="1:104" x14ac:dyDescent="0.2">
      <c r="A230" s="8" t="str">
        <f>Column!$C230&amp;"_"&amp;Column!$G230</f>
        <v>Issues_NumC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538</v>
      </c>
      <c r="H230" s="4" t="s">
        <v>546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>
        <v>1</v>
      </c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499</v>
      </c>
      <c r="Y230" s="4"/>
      <c r="Z230" s="4"/>
      <c r="AA230" s="4"/>
      <c r="AB230" s="4" t="s">
        <v>851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958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/>
      <c r="CK230" s="4">
        <v>1</v>
      </c>
      <c r="CL230" s="4"/>
      <c r="CM230" s="4"/>
      <c r="CN230" s="4"/>
      <c r="CO230" s="4"/>
      <c r="CP230" s="4"/>
      <c r="CQ230" s="4"/>
      <c r="CR230" s="4"/>
      <c r="CS230" s="4"/>
      <c r="CT230" s="4"/>
      <c r="CU230" s="4">
        <v>0</v>
      </c>
      <c r="CV230" s="4">
        <v>10000</v>
      </c>
      <c r="CW230" s="4">
        <v>1000</v>
      </c>
      <c r="CX230" s="4"/>
      <c r="CY230" s="4"/>
      <c r="CZ230" s="4"/>
    </row>
    <row r="231" spans="1:104" x14ac:dyDescent="0.2">
      <c r="A231" s="8" t="str">
        <f>Column!$C231&amp;"_"&amp;Column!$G231</f>
        <v>Issues_NumD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539</v>
      </c>
      <c r="H231" s="4" t="s">
        <v>547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>
        <v>1</v>
      </c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499</v>
      </c>
      <c r="Y231" s="4"/>
      <c r="Z231" s="4"/>
      <c r="AA231" s="4"/>
      <c r="AB231" s="4" t="s">
        <v>851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958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/>
      <c r="CK231" s="4">
        <v>1</v>
      </c>
      <c r="CL231" s="4"/>
      <c r="CM231" s="4"/>
      <c r="CN231" s="4"/>
      <c r="CO231" s="4"/>
      <c r="CP231" s="4"/>
      <c r="CQ231" s="4"/>
      <c r="CR231" s="4"/>
      <c r="CS231" s="4"/>
      <c r="CT231" s="4"/>
      <c r="CU231" s="4">
        <v>0</v>
      </c>
      <c r="CV231" s="4">
        <v>10000</v>
      </c>
      <c r="CW231" s="4">
        <v>1000</v>
      </c>
      <c r="CX231" s="4"/>
      <c r="CY231" s="4"/>
      <c r="CZ231" s="4"/>
    </row>
    <row r="232" spans="1:104" x14ac:dyDescent="0.2">
      <c r="A232" s="8" t="str">
        <f>Column!$C232&amp;"_"&amp;Column!$G232</f>
        <v>Issues_NumE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540</v>
      </c>
      <c r="H232" s="4" t="s">
        <v>548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>
        <v>1</v>
      </c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499</v>
      </c>
      <c r="Y232" s="4"/>
      <c r="Z232" s="4"/>
      <c r="AA232" s="4"/>
      <c r="AB232" s="4" t="s">
        <v>851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958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/>
      <c r="CK232" s="4">
        <v>1</v>
      </c>
      <c r="CL232" s="4"/>
      <c r="CM232" s="4"/>
      <c r="CN232" s="4"/>
      <c r="CO232" s="4"/>
      <c r="CP232" s="4"/>
      <c r="CQ232" s="4"/>
      <c r="CR232" s="4"/>
      <c r="CS232" s="4"/>
      <c r="CT232" s="4"/>
      <c r="CU232" s="4">
        <v>0</v>
      </c>
      <c r="CV232" s="4">
        <v>10000</v>
      </c>
      <c r="CW232" s="4">
        <v>1000</v>
      </c>
      <c r="CX232" s="4"/>
      <c r="CY232" s="4"/>
      <c r="CZ232" s="4"/>
    </row>
    <row r="233" spans="1:104" x14ac:dyDescent="0.2">
      <c r="A233" s="8" t="str">
        <f>Column!$C233&amp;"_"&amp;Column!$G233</f>
        <v>Issues_NumF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541</v>
      </c>
      <c r="H233" s="4" t="s">
        <v>549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>
        <v>1</v>
      </c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499</v>
      </c>
      <c r="Y233" s="4"/>
      <c r="Z233" s="4"/>
      <c r="AA233" s="4"/>
      <c r="AB233" s="4" t="s">
        <v>851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958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/>
      <c r="CK233" s="4">
        <v>1</v>
      </c>
      <c r="CL233" s="4"/>
      <c r="CM233" s="4"/>
      <c r="CN233" s="4"/>
      <c r="CO233" s="4"/>
      <c r="CP233" s="4"/>
      <c r="CQ233" s="4"/>
      <c r="CR233" s="4"/>
      <c r="CS233" s="4"/>
      <c r="CT233" s="4"/>
      <c r="CU233" s="4">
        <v>0</v>
      </c>
      <c r="CV233" s="4">
        <v>10000</v>
      </c>
      <c r="CW233" s="4">
        <v>1000</v>
      </c>
      <c r="CX233" s="4"/>
      <c r="CY233" s="4"/>
      <c r="CZ233" s="4"/>
    </row>
    <row r="234" spans="1:104" x14ac:dyDescent="0.2">
      <c r="A234" s="8" t="str">
        <f>Column!$C234&amp;"_"&amp;Column!$G234</f>
        <v>Issues_NumG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542</v>
      </c>
      <c r="H234" s="4" t="s">
        <v>550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>
        <v>1</v>
      </c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499</v>
      </c>
      <c r="Y234" s="4"/>
      <c r="Z234" s="4"/>
      <c r="AA234" s="4"/>
      <c r="AB234" s="4" t="s">
        <v>851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958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/>
      <c r="CK234" s="4">
        <v>1</v>
      </c>
      <c r="CL234" s="4"/>
      <c r="CM234" s="4"/>
      <c r="CN234" s="4"/>
      <c r="CO234" s="4"/>
      <c r="CP234" s="4"/>
      <c r="CQ234" s="4"/>
      <c r="CR234" s="4"/>
      <c r="CS234" s="4"/>
      <c r="CT234" s="4"/>
      <c r="CU234" s="4">
        <v>0</v>
      </c>
      <c r="CV234" s="4">
        <v>10000</v>
      </c>
      <c r="CW234" s="4">
        <v>1000</v>
      </c>
      <c r="CX234" s="4"/>
      <c r="CY234" s="4"/>
      <c r="CZ234" s="4"/>
    </row>
    <row r="235" spans="1:104" x14ac:dyDescent="0.2">
      <c r="A235" s="8" t="str">
        <f>Column!$C235&amp;"_"&amp;Column!$G235</f>
        <v>Issues_NumH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543</v>
      </c>
      <c r="H235" s="4" t="s">
        <v>551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>
        <v>1</v>
      </c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499</v>
      </c>
      <c r="Y235" s="4"/>
      <c r="Z235" s="4"/>
      <c r="AA235" s="4"/>
      <c r="AB235" s="4" t="s">
        <v>851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958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/>
      <c r="CK235" s="4">
        <v>1</v>
      </c>
      <c r="CL235" s="4"/>
      <c r="CM235" s="4"/>
      <c r="CN235" s="4"/>
      <c r="CO235" s="4"/>
      <c r="CP235" s="4"/>
      <c r="CQ235" s="4"/>
      <c r="CR235" s="4"/>
      <c r="CS235" s="4"/>
      <c r="CT235" s="4"/>
      <c r="CU235" s="4">
        <v>0</v>
      </c>
      <c r="CV235" s="4">
        <v>10000</v>
      </c>
      <c r="CW235" s="4">
        <v>1000</v>
      </c>
      <c r="CX235" s="4"/>
      <c r="CY235" s="4"/>
      <c r="CZ235" s="4"/>
    </row>
    <row r="236" spans="1:104" x14ac:dyDescent="0.2">
      <c r="A236" s="8" t="str">
        <f>Column!$C236&amp;"_"&amp;Column!$G236</f>
        <v>Issues_NumI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821</v>
      </c>
      <c r="H236" s="4" t="s">
        <v>829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>
        <v>1</v>
      </c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Issues_NumJ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822</v>
      </c>
      <c r="H237" s="4" t="s">
        <v>830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>
        <v>1</v>
      </c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Issues_NumK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823</v>
      </c>
      <c r="H238" s="4" t="s">
        <v>831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>
        <v>1</v>
      </c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Issues_NumL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824</v>
      </c>
      <c r="H239" s="4" t="s">
        <v>832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>
        <v>1</v>
      </c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Issues_NumM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825</v>
      </c>
      <c r="H240" s="4" t="s">
        <v>833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>
        <v>1</v>
      </c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Issues_NumN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826</v>
      </c>
      <c r="H241" s="4" t="s">
        <v>834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>
        <v>1</v>
      </c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Issues_NumO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827</v>
      </c>
      <c r="H242" s="4" t="s">
        <v>835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>
        <v>1</v>
      </c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Issues_NumP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828</v>
      </c>
      <c r="H243" s="4" t="s">
        <v>836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>
        <v>1</v>
      </c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Issues_NumQ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864</v>
      </c>
      <c r="H244" s="4" t="s">
        <v>914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>
        <v>1</v>
      </c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Issues_NumR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865</v>
      </c>
      <c r="H245" s="4" t="s">
        <v>915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>
        <v>1</v>
      </c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Issues_NumS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866</v>
      </c>
      <c r="H246" s="4" t="s">
        <v>916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>
        <v>1</v>
      </c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Issues_NumT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867</v>
      </c>
      <c r="H247" s="4" t="s">
        <v>917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>
        <v>1</v>
      </c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Issues_NumU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868</v>
      </c>
      <c r="H248" s="4" t="s">
        <v>918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>
        <v>1</v>
      </c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Issues_NumV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869</v>
      </c>
      <c r="H249" s="4" t="s">
        <v>919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>
        <v>1</v>
      </c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Issues_NumW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870</v>
      </c>
      <c r="H250" s="4" t="s">
        <v>920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>
        <v>1</v>
      </c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Issues_NumX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871</v>
      </c>
      <c r="H251" s="4" t="s">
        <v>921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>
        <v>1</v>
      </c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Issues_NumY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872</v>
      </c>
      <c r="H252" s="4" t="s">
        <v>922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>
        <v>1</v>
      </c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Issues_NumZ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873</v>
      </c>
      <c r="H253" s="4" t="s">
        <v>923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>
        <v>1</v>
      </c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Issues_DateA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552</v>
      </c>
      <c r="H254" s="4" t="s">
        <v>560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508</v>
      </c>
      <c r="CA254" s="4" t="s">
        <v>507</v>
      </c>
      <c r="CB254" s="4" t="s">
        <v>507</v>
      </c>
      <c r="CC254" s="9"/>
      <c r="CD254" s="9"/>
      <c r="CE254" s="4"/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>
        <v>-365</v>
      </c>
      <c r="CQ254" s="4">
        <v>365</v>
      </c>
      <c r="CR254" s="4">
        <v>1</v>
      </c>
      <c r="CS254" s="4"/>
      <c r="CT254" s="4"/>
      <c r="CU254" s="4"/>
      <c r="CV254" s="4"/>
      <c r="CW254" s="4"/>
      <c r="CX254" s="4">
        <v>50</v>
      </c>
      <c r="CY254" s="4"/>
      <c r="CZ254" s="4"/>
    </row>
    <row r="255" spans="1:104" x14ac:dyDescent="0.2">
      <c r="A255" s="8" t="str">
        <f>Column!$C255&amp;"_"&amp;Column!$G255</f>
        <v>Issues_DateB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553</v>
      </c>
      <c r="H255" s="4" t="s">
        <v>561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>
        <v>-365</v>
      </c>
      <c r="CQ255" s="4">
        <v>365</v>
      </c>
      <c r="CR255" s="4">
        <v>1</v>
      </c>
      <c r="CS255" s="4"/>
      <c r="CT255" s="4"/>
      <c r="CU255" s="4"/>
      <c r="CV255" s="4"/>
      <c r="CW255" s="4"/>
      <c r="CX255" s="4">
        <v>50</v>
      </c>
      <c r="CY255" s="4"/>
      <c r="CZ255" s="4"/>
    </row>
    <row r="256" spans="1:104" x14ac:dyDescent="0.2">
      <c r="A256" s="8" t="str">
        <f>Column!$C256&amp;"_"&amp;Column!$G256</f>
        <v>Issues_DateC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554</v>
      </c>
      <c r="H256" s="4" t="s">
        <v>562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>
        <v>-365</v>
      </c>
      <c r="CQ256" s="4">
        <v>365</v>
      </c>
      <c r="CR256" s="4">
        <v>1</v>
      </c>
      <c r="CS256" s="4"/>
      <c r="CT256" s="4"/>
      <c r="CU256" s="4"/>
      <c r="CV256" s="4"/>
      <c r="CW256" s="4"/>
      <c r="CX256" s="4">
        <v>50</v>
      </c>
      <c r="CY256" s="4"/>
      <c r="CZ256" s="4"/>
    </row>
    <row r="257" spans="1:104" x14ac:dyDescent="0.2">
      <c r="A257" s="8" t="str">
        <f>Column!$C257&amp;"_"&amp;Column!$G257</f>
        <v>Issues_DateD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555</v>
      </c>
      <c r="H257" s="4" t="s">
        <v>563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>
        <v>-365</v>
      </c>
      <c r="CQ257" s="4">
        <v>365</v>
      </c>
      <c r="CR257" s="4">
        <v>1</v>
      </c>
      <c r="CS257" s="4"/>
      <c r="CT257" s="4"/>
      <c r="CU257" s="4"/>
      <c r="CV257" s="4"/>
      <c r="CW257" s="4"/>
      <c r="CX257" s="4">
        <v>50</v>
      </c>
      <c r="CY257" s="4"/>
      <c r="CZ257" s="4"/>
    </row>
    <row r="258" spans="1:104" x14ac:dyDescent="0.2">
      <c r="A258" s="8" t="str">
        <f>Column!$C258&amp;"_"&amp;Column!$G258</f>
        <v>Issues_DateE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556</v>
      </c>
      <c r="H258" s="4" t="s">
        <v>564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>
        <v>-365</v>
      </c>
      <c r="CQ258" s="4">
        <v>365</v>
      </c>
      <c r="CR258" s="4">
        <v>1</v>
      </c>
      <c r="CS258" s="4"/>
      <c r="CT258" s="4"/>
      <c r="CU258" s="4"/>
      <c r="CV258" s="4"/>
      <c r="CW258" s="4"/>
      <c r="CX258" s="4">
        <v>50</v>
      </c>
      <c r="CY258" s="4"/>
      <c r="CZ258" s="4"/>
    </row>
    <row r="259" spans="1:104" x14ac:dyDescent="0.2">
      <c r="A259" s="8" t="str">
        <f>Column!$C259&amp;"_"&amp;Column!$G259</f>
        <v>Issues_DateF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557</v>
      </c>
      <c r="H259" s="4" t="s">
        <v>565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>
        <v>-365</v>
      </c>
      <c r="CQ259" s="4">
        <v>365</v>
      </c>
      <c r="CR259" s="4">
        <v>1</v>
      </c>
      <c r="CS259" s="4"/>
      <c r="CT259" s="4"/>
      <c r="CU259" s="4"/>
      <c r="CV259" s="4"/>
      <c r="CW259" s="4"/>
      <c r="CX259" s="4">
        <v>50</v>
      </c>
      <c r="CY259" s="4"/>
      <c r="CZ259" s="4"/>
    </row>
    <row r="260" spans="1:104" x14ac:dyDescent="0.2">
      <c r="A260" s="8" t="str">
        <f>Column!$C260&amp;"_"&amp;Column!$G260</f>
        <v>Issues_DateG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558</v>
      </c>
      <c r="H260" s="4" t="s">
        <v>566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>
        <v>-365</v>
      </c>
      <c r="CQ260" s="4">
        <v>365</v>
      </c>
      <c r="CR260" s="4">
        <v>1</v>
      </c>
      <c r="CS260" s="4"/>
      <c r="CT260" s="4"/>
      <c r="CU260" s="4"/>
      <c r="CV260" s="4"/>
      <c r="CW260" s="4"/>
      <c r="CX260" s="4">
        <v>50</v>
      </c>
      <c r="CY260" s="4"/>
      <c r="CZ260" s="4"/>
    </row>
    <row r="261" spans="1:104" x14ac:dyDescent="0.2">
      <c r="A261" s="8" t="str">
        <f>Column!$C261&amp;"_"&amp;Column!$G261</f>
        <v>Issues_DateH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559</v>
      </c>
      <c r="H261" s="4" t="s">
        <v>567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>
        <v>-365</v>
      </c>
      <c r="CQ261" s="4">
        <v>365</v>
      </c>
      <c r="CR261" s="4">
        <v>1</v>
      </c>
      <c r="CS261" s="4"/>
      <c r="CT261" s="4"/>
      <c r="CU261" s="4"/>
      <c r="CV261" s="4"/>
      <c r="CW261" s="4"/>
      <c r="CX261" s="4">
        <v>50</v>
      </c>
      <c r="CY261" s="4"/>
      <c r="CZ261" s="4"/>
    </row>
    <row r="262" spans="1:104" x14ac:dyDescent="0.2">
      <c r="A262" s="8" t="str">
        <f>Column!$C262&amp;"_"&amp;Column!$G262</f>
        <v>Issues_DateI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805</v>
      </c>
      <c r="H262" s="4" t="s">
        <v>810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508</v>
      </c>
      <c r="CA262" s="9" t="s">
        <v>507</v>
      </c>
      <c r="CB262" s="9" t="s">
        <v>507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Issues_DateJ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806</v>
      </c>
      <c r="H263" s="4" t="s">
        <v>811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Issues_DateK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807</v>
      </c>
      <c r="H264" s="4" t="s">
        <v>812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Issues_DateL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808</v>
      </c>
      <c r="H265" s="4" t="s">
        <v>815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Issues_DateM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809</v>
      </c>
      <c r="H266" s="4" t="s">
        <v>813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Issues_DateN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818</v>
      </c>
      <c r="H267" s="4" t="s">
        <v>814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Issues_DateO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819</v>
      </c>
      <c r="H268" s="4" t="s">
        <v>816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Issues_DateP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820</v>
      </c>
      <c r="H269" s="4" t="s">
        <v>817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Issues_DateQ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874</v>
      </c>
      <c r="H270" s="4" t="s">
        <v>924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Issues_DateR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875</v>
      </c>
      <c r="H271" s="4" t="s">
        <v>925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Issues_DateS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876</v>
      </c>
      <c r="H272" s="4" t="s">
        <v>926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Issues_DateT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877</v>
      </c>
      <c r="H273" s="4" t="s">
        <v>927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Issues_DateU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878</v>
      </c>
      <c r="H274" s="4" t="s">
        <v>928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Issues_DateV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879</v>
      </c>
      <c r="H275" s="4" t="s">
        <v>929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Issues_DateW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880</v>
      </c>
      <c r="H276" s="4" t="s">
        <v>930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Issues_DateX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881</v>
      </c>
      <c r="H277" s="4" t="s">
        <v>931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Issues_DateY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882</v>
      </c>
      <c r="H278" s="4" t="s">
        <v>932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Issues_DateZ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883</v>
      </c>
      <c r="H279" s="4" t="s">
        <v>933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Issues_DescriptionA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717</v>
      </c>
      <c r="H280" s="4" t="s">
        <v>725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239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</row>
    <row r="281" spans="1:104" x14ac:dyDescent="0.2">
      <c r="A281" s="8" t="str">
        <f>Column!$C281&amp;"_"&amp;Column!$G281</f>
        <v>Issues_DescriptionB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718</v>
      </c>
      <c r="H281" s="4" t="s">
        <v>726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</row>
    <row r="282" spans="1:104" x14ac:dyDescent="0.2">
      <c r="A282" s="8" t="str">
        <f>Column!$C282&amp;"_"&amp;Column!$G282</f>
        <v>Issues_DescriptionC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719</v>
      </c>
      <c r="H282" s="4" t="s">
        <v>727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</row>
    <row r="283" spans="1:104" x14ac:dyDescent="0.2">
      <c r="A283" s="8" t="str">
        <f>Column!$C283&amp;"_"&amp;Column!$G283</f>
        <v>Issues_DescriptionD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720</v>
      </c>
      <c r="H283" s="4" t="s">
        <v>728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</row>
    <row r="284" spans="1:104" x14ac:dyDescent="0.2">
      <c r="A284" s="8" t="str">
        <f>Column!$C284&amp;"_"&amp;Column!$G284</f>
        <v>Issues_DescriptionE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721</v>
      </c>
      <c r="H284" s="4" t="s">
        <v>729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</row>
    <row r="285" spans="1:104" x14ac:dyDescent="0.2">
      <c r="A285" s="8" t="str">
        <f>Column!$C285&amp;"_"&amp;Column!$G285</f>
        <v>Issues_DescriptionF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722</v>
      </c>
      <c r="H285" s="4" t="s">
        <v>730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</row>
    <row r="286" spans="1:104" x14ac:dyDescent="0.2">
      <c r="A286" s="8" t="str">
        <f>Column!$C286&amp;"_"&amp;Column!$G286</f>
        <v>Issues_DescriptionG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723</v>
      </c>
      <c r="H286" s="4" t="s">
        <v>731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</row>
    <row r="287" spans="1:104" x14ac:dyDescent="0.2">
      <c r="A287" s="8" t="str">
        <f>Column!$C287&amp;"_"&amp;Column!$G287</f>
        <v>Issues_DescriptionH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724</v>
      </c>
      <c r="H287" s="4" t="s">
        <v>732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</row>
    <row r="288" spans="1:104" x14ac:dyDescent="0.2">
      <c r="A288" s="8" t="str">
        <f>Column!$C288&amp;"_"&amp;Column!$G288</f>
        <v>Issues_DescriptionI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789</v>
      </c>
      <c r="H288" s="4" t="s">
        <v>797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Issues_DescriptionJ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790</v>
      </c>
      <c r="H289" s="4" t="s">
        <v>798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Issues_DescriptionK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791</v>
      </c>
      <c r="H290" s="4" t="s">
        <v>799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Issues_DescriptionL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792</v>
      </c>
      <c r="H291" s="4" t="s">
        <v>800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Issues_DescriptionM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793</v>
      </c>
      <c r="H292" s="4" t="s">
        <v>801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Issues_DescriptionN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794</v>
      </c>
      <c r="H293" s="4" t="s">
        <v>802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Issues_DescriptionO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795</v>
      </c>
      <c r="H294" s="4" t="s">
        <v>803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Issues_DescriptionP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796</v>
      </c>
      <c r="H295" s="4" t="s">
        <v>804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Issues_DescriptionQ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884</v>
      </c>
      <c r="H296" s="4" t="s">
        <v>934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Issues_DescriptionR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885</v>
      </c>
      <c r="H297" s="4" t="s">
        <v>935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Issues_DescriptionS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886</v>
      </c>
      <c r="H298" s="4" t="s">
        <v>936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Issues_DescriptionT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887</v>
      </c>
      <c r="H299" s="4" t="s">
        <v>937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Issues_DescriptionU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888</v>
      </c>
      <c r="H300" s="4" t="s">
        <v>938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Issues_DescriptionV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889</v>
      </c>
      <c r="H301" s="4" t="s">
        <v>939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Issues_DescriptionW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890</v>
      </c>
      <c r="H302" s="4" t="s">
        <v>940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Issues_DescriptionX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891</v>
      </c>
      <c r="H303" s="4" t="s">
        <v>941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Issues_DescriptionY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892</v>
      </c>
      <c r="H304" s="4" t="s">
        <v>942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Issues_DescriptionZ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893</v>
      </c>
      <c r="H305" s="4" t="s">
        <v>943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Issues_CheckA</v>
      </c>
      <c r="B306" s="4" t="s">
        <v>37</v>
      </c>
      <c r="C306" s="4" t="s">
        <v>140</v>
      </c>
      <c r="D306" s="4"/>
      <c r="E306" s="4"/>
      <c r="F306" s="4" t="s">
        <v>714</v>
      </c>
      <c r="G306" s="12" t="s">
        <v>734</v>
      </c>
      <c r="H306" s="12" t="s">
        <v>742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750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Issues_CheckB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735</v>
      </c>
      <c r="H307" s="12" t="s">
        <v>743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Issues_CheckC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736</v>
      </c>
      <c r="H308" s="12" t="s">
        <v>744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Issues_CheckD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737</v>
      </c>
      <c r="H309" s="12" t="s">
        <v>745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Issues_CheckE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738</v>
      </c>
      <c r="H310" s="12" t="s">
        <v>746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Issues_CheckF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739</v>
      </c>
      <c r="H311" s="12" t="s">
        <v>747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Issues_CheckG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740</v>
      </c>
      <c r="H312" s="12" t="s">
        <v>748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Issues_CheckH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741</v>
      </c>
      <c r="H313" s="12" t="s">
        <v>749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Issues_CheckI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773</v>
      </c>
      <c r="H314" s="12" t="s">
        <v>781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Issues_CheckJ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774</v>
      </c>
      <c r="H315" s="12" t="s">
        <v>782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Issues_CheckK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775</v>
      </c>
      <c r="H316" s="12" t="s">
        <v>783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Issues_CheckL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776</v>
      </c>
      <c r="H317" s="12" t="s">
        <v>784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Issues_CheckM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777</v>
      </c>
      <c r="H318" s="12" t="s">
        <v>785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Issues_CheckN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778</v>
      </c>
      <c r="H319" s="12" t="s">
        <v>786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Issues_CheckO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779</v>
      </c>
      <c r="H320" s="12" t="s">
        <v>787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Issues_CheckP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780</v>
      </c>
      <c r="H321" s="12" t="s">
        <v>788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Issues_CheckQ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894</v>
      </c>
      <c r="H322" s="12" t="s">
        <v>944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Issues_CheckR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895</v>
      </c>
      <c r="H323" s="12" t="s">
        <v>945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Issues_CheckS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896</v>
      </c>
      <c r="H324" s="12" t="s">
        <v>946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Issues_CheckT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897</v>
      </c>
      <c r="H325" s="12" t="s">
        <v>947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Issues_CheckU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898</v>
      </c>
      <c r="H326" s="12" t="s">
        <v>948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Issues_CheckV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899</v>
      </c>
      <c r="H327" s="12" t="s">
        <v>949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Issues_CheckW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900</v>
      </c>
      <c r="H328" s="12" t="s">
        <v>950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Issues_CheckX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901</v>
      </c>
      <c r="H329" s="12" t="s">
        <v>951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Issues_CheckY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902</v>
      </c>
      <c r="H330" s="12" t="s">
        <v>952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Issues_CheckZ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903</v>
      </c>
      <c r="H331" s="12" t="s">
        <v>953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Results_ResultId</v>
      </c>
      <c r="B332" s="4" t="s">
        <v>612</v>
      </c>
      <c r="C332" s="4" t="s">
        <v>611</v>
      </c>
      <c r="D332" s="4"/>
      <c r="E332" s="4"/>
      <c r="F332" s="4" t="s">
        <v>715</v>
      </c>
      <c r="G332" s="4" t="s">
        <v>613</v>
      </c>
      <c r="H332" s="4" t="s">
        <v>841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>
        <v>1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>
        <v>30</v>
      </c>
      <c r="BN332" s="4">
        <v>1</v>
      </c>
      <c r="BO332" s="4"/>
      <c r="BP332" s="4" t="s">
        <v>955</v>
      </c>
      <c r="BQ332" s="4"/>
      <c r="BR332" s="4"/>
      <c r="BS332" s="4"/>
      <c r="BT332" s="4"/>
      <c r="BU332" s="4"/>
      <c r="BV332" s="4"/>
      <c r="BW332" s="4"/>
      <c r="BX332" s="4"/>
      <c r="BY332" s="4" t="s">
        <v>120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>
        <v>1</v>
      </c>
      <c r="CZ332" s="4"/>
    </row>
    <row r="333" spans="1:104" x14ac:dyDescent="0.2">
      <c r="A333" s="8" t="str">
        <f>Column!$C333&amp;"_"&amp;Column!$G333</f>
        <v>Results_Title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71</v>
      </c>
      <c r="H333" s="4" t="s">
        <v>285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75</v>
      </c>
      <c r="Y333" s="4" t="s">
        <v>235</v>
      </c>
      <c r="Z333" s="4" t="s">
        <v>233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4</v>
      </c>
      <c r="BC333" s="4"/>
      <c r="BD333" s="4"/>
      <c r="BE333" s="4"/>
      <c r="BF333" s="4" t="s">
        <v>381</v>
      </c>
      <c r="BG333" s="4" t="s">
        <v>584</v>
      </c>
      <c r="BH333" s="4"/>
      <c r="BI333" s="4"/>
      <c r="BJ333" s="4"/>
      <c r="BK333" s="4"/>
      <c r="BL333" s="4"/>
      <c r="BM333" s="4">
        <v>1</v>
      </c>
      <c r="BN333" s="4"/>
      <c r="BO333" s="4" t="s">
        <v>239</v>
      </c>
      <c r="BP333" s="4" t="s">
        <v>224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>
        <v>1</v>
      </c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>
        <v>1</v>
      </c>
      <c r="CZ333" s="4"/>
    </row>
    <row r="334" spans="1:104" x14ac:dyDescent="0.2">
      <c r="A334" s="8" t="str">
        <f>Column!$C334&amp;"_"&amp;Column!$G334</f>
        <v>Results_Status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51</v>
      </c>
      <c r="H334" s="4" t="s">
        <v>256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232</v>
      </c>
      <c r="Z334" s="4" t="s">
        <v>233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 t="s">
        <v>716</v>
      </c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213</v>
      </c>
      <c r="BQ334" s="4"/>
      <c r="BR334" s="4"/>
      <c r="BS334" s="4"/>
      <c r="BT334" s="4"/>
      <c r="BU334" s="4"/>
      <c r="BV334" s="4"/>
      <c r="BW334" s="4"/>
      <c r="BX334" s="4"/>
      <c r="BY334" s="9" t="s">
        <v>387</v>
      </c>
      <c r="BZ334" s="9"/>
      <c r="CA334" s="9"/>
      <c r="CB334" s="9"/>
      <c r="CC334" s="9">
        <v>1</v>
      </c>
      <c r="CD334" s="9"/>
      <c r="CE334" s="5" t="s">
        <v>614</v>
      </c>
      <c r="CF334" s="5"/>
      <c r="CG334" s="5"/>
      <c r="CH334" s="5"/>
      <c r="CI334" s="5"/>
      <c r="CJ334" s="4"/>
      <c r="CK334" s="4"/>
      <c r="CL334" s="4"/>
      <c r="CM334" s="4"/>
      <c r="CN334" s="4"/>
      <c r="CO334" s="4"/>
      <c r="CP334" s="5"/>
      <c r="CQ334" s="5"/>
      <c r="CR334" s="5"/>
      <c r="CS334" s="5"/>
      <c r="CT334" s="5"/>
      <c r="CU334" s="5"/>
      <c r="CV334" s="5"/>
      <c r="CW334" s="5"/>
      <c r="CX334" s="5"/>
      <c r="CY334" s="4">
        <v>1</v>
      </c>
      <c r="CZ334" s="4"/>
    </row>
    <row r="335" spans="1:104" x14ac:dyDescent="0.2">
      <c r="A335" s="8" t="str">
        <f>Column!$C335&amp;"_"&amp;Column!$G335</f>
        <v>Results_Manager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603</v>
      </c>
      <c r="H335" s="4" t="s">
        <v>275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149</v>
      </c>
      <c r="Y335" s="4" t="s">
        <v>598</v>
      </c>
      <c r="Z335" s="4" t="s">
        <v>605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100</v>
      </c>
      <c r="BC335" s="4"/>
      <c r="BD335" s="4"/>
      <c r="BE335" s="4"/>
      <c r="BF335" s="4" t="s">
        <v>599</v>
      </c>
      <c r="BG335" s="4" t="s">
        <v>600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4" t="s">
        <v>533</v>
      </c>
      <c r="CF335" s="4"/>
      <c r="CG335" s="4"/>
      <c r="CH335" s="4">
        <v>1</v>
      </c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>
        <v>1</v>
      </c>
      <c r="CZ335" s="4"/>
    </row>
    <row r="336" spans="1:104" x14ac:dyDescent="0.2">
      <c r="A336" s="8" t="str">
        <f>Column!$C336&amp;"_"&amp;Column!$G336</f>
        <v>Results_Owner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604</v>
      </c>
      <c r="H336" s="4" t="s">
        <v>274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>
        <v>1</v>
      </c>
      <c r="CZ336" s="4"/>
    </row>
    <row r="337" spans="1:104" x14ac:dyDescent="0.2">
      <c r="A337" s="8" t="str">
        <f>Column!$C337&amp;"_"&amp;Column!$G337</f>
        <v>Results_ClassA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44</v>
      </c>
      <c r="H337" s="4" t="s">
        <v>248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200</v>
      </c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>
        <v>1</v>
      </c>
      <c r="CZ337" s="4"/>
    </row>
    <row r="338" spans="1:104" x14ac:dyDescent="0.2">
      <c r="A338" s="8" t="str">
        <f>Column!$C338&amp;"_"&amp;Column!$G338</f>
        <v>Results_ClassB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45</v>
      </c>
      <c r="H338" s="4" t="s">
        <v>249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>
        <v>1</v>
      </c>
      <c r="CZ338" s="4"/>
    </row>
    <row r="339" spans="1:104" x14ac:dyDescent="0.2">
      <c r="A339" s="8" t="str">
        <f>Column!$C339&amp;"_"&amp;Column!$G339</f>
        <v>Results_ClassC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46</v>
      </c>
      <c r="H339" s="4" t="s">
        <v>250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>
        <v>1</v>
      </c>
      <c r="CZ339" s="4"/>
    </row>
    <row r="340" spans="1:104" x14ac:dyDescent="0.2">
      <c r="A340" s="8" t="str">
        <f>Column!$C340&amp;"_"&amp;Column!$G340</f>
        <v>Results_ClassD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47</v>
      </c>
      <c r="H340" s="4" t="s">
        <v>251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Results_ClassE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48</v>
      </c>
      <c r="H341" s="4" t="s">
        <v>252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Results_ClassF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49</v>
      </c>
      <c r="H342" s="4" t="s">
        <v>253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</row>
    <row r="343" spans="1:104" x14ac:dyDescent="0.2">
      <c r="A343" s="8" t="str">
        <f>Column!$C343&amp;"_"&amp;Column!$G343</f>
        <v>Results_ClassG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50</v>
      </c>
      <c r="H343" s="4" t="s">
        <v>254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</row>
    <row r="344" spans="1:104" x14ac:dyDescent="0.2">
      <c r="A344" s="8" t="str">
        <f>Column!$C344&amp;"_"&amp;Column!$G344</f>
        <v>Results_ClassH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195</v>
      </c>
      <c r="H344" s="4" t="s">
        <v>255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</row>
    <row r="345" spans="1:104" x14ac:dyDescent="0.2">
      <c r="A345" s="8" t="str">
        <f>Column!$C345&amp;"_"&amp;Column!$G345</f>
        <v>Results_ClassI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674</v>
      </c>
      <c r="H345" s="4" t="s">
        <v>666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5"/>
      <c r="CJ345" s="4"/>
      <c r="CK345" s="4"/>
      <c r="CL345" s="4"/>
      <c r="CM345" s="4"/>
      <c r="CN345" s="4"/>
      <c r="CO345" s="4"/>
      <c r="CP345" s="5"/>
      <c r="CQ345" s="5"/>
      <c r="CR345" s="5"/>
      <c r="CS345" s="5"/>
      <c r="CT345" s="5"/>
      <c r="CU345" s="5"/>
      <c r="CV345" s="5"/>
      <c r="CW345" s="5"/>
      <c r="CX345" s="5"/>
      <c r="CY345" s="4"/>
      <c r="CZ345" s="4"/>
    </row>
    <row r="346" spans="1:104" x14ac:dyDescent="0.2">
      <c r="A346" s="8" t="str">
        <f>Column!$C346&amp;"_"&amp;Column!$G346</f>
        <v>Results_ClassJ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675</v>
      </c>
      <c r="H346" s="4" t="s">
        <v>667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5"/>
      <c r="CJ346" s="4"/>
      <c r="CK346" s="4"/>
      <c r="CL346" s="4"/>
      <c r="CM346" s="4"/>
      <c r="CN346" s="4"/>
      <c r="CO346" s="4"/>
      <c r="CP346" s="5"/>
      <c r="CQ346" s="5"/>
      <c r="CR346" s="5"/>
      <c r="CS346" s="5"/>
      <c r="CT346" s="5"/>
      <c r="CU346" s="5"/>
      <c r="CV346" s="5"/>
      <c r="CW346" s="5"/>
      <c r="CX346" s="5"/>
      <c r="CY346" s="4"/>
      <c r="CZ346" s="4"/>
    </row>
    <row r="347" spans="1:104" x14ac:dyDescent="0.2">
      <c r="A347" s="8" t="str">
        <f>Column!$C347&amp;"_"&amp;Column!$G347</f>
        <v>Results_ClassK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676</v>
      </c>
      <c r="H347" s="4" t="s">
        <v>668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5"/>
      <c r="CJ347" s="4"/>
      <c r="CK347" s="4"/>
      <c r="CL347" s="4"/>
      <c r="CM347" s="4"/>
      <c r="CN347" s="4"/>
      <c r="CO347" s="4"/>
      <c r="CP347" s="5"/>
      <c r="CQ347" s="5"/>
      <c r="CR347" s="5"/>
      <c r="CS347" s="5"/>
      <c r="CT347" s="5"/>
      <c r="CU347" s="5"/>
      <c r="CV347" s="5"/>
      <c r="CW347" s="5"/>
      <c r="CX347" s="5"/>
      <c r="CY347" s="4"/>
      <c r="CZ347" s="4"/>
    </row>
    <row r="348" spans="1:104" x14ac:dyDescent="0.2">
      <c r="A348" s="8" t="str">
        <f>Column!$C348&amp;"_"&amp;Column!$G348</f>
        <v>Results_ClassL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677</v>
      </c>
      <c r="H348" s="4" t="s">
        <v>669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Results_ClassM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678</v>
      </c>
      <c r="H349" s="4" t="s">
        <v>670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Results_ClassN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679</v>
      </c>
      <c r="H350" s="4" t="s">
        <v>671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Results_ClassO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680</v>
      </c>
      <c r="H351" s="4" t="s">
        <v>672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Results_ClassP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681</v>
      </c>
      <c r="H352" s="4" t="s">
        <v>673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Results_ClassQ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854</v>
      </c>
      <c r="H353" s="4" t="s">
        <v>904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Results_ClassR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855</v>
      </c>
      <c r="H354" s="4" t="s">
        <v>905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Results_ClassS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856</v>
      </c>
      <c r="H355" s="4" t="s">
        <v>906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</row>
    <row r="356" spans="1:104" x14ac:dyDescent="0.2">
      <c r="A356" s="8" t="str">
        <f>Column!$C356&amp;"_"&amp;Column!$G356</f>
        <v>Results_ClassT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857</v>
      </c>
      <c r="H356" s="4" t="s">
        <v>907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Results_ClassU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858</v>
      </c>
      <c r="H357" s="4" t="s">
        <v>908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Results_ClassV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859</v>
      </c>
      <c r="H358" s="4" t="s">
        <v>909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Results_ClassW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860</v>
      </c>
      <c r="H359" s="4" t="s">
        <v>910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Results_ClassX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861</v>
      </c>
      <c r="H360" s="4" t="s">
        <v>911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Results_ClassY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862</v>
      </c>
      <c r="H361" s="4" t="s">
        <v>912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Results_ClassZ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863</v>
      </c>
      <c r="H362" s="4" t="s">
        <v>913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Results_NumA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536</v>
      </c>
      <c r="H363" s="4" t="s">
        <v>544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>
        <v>1</v>
      </c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499</v>
      </c>
      <c r="Y363" s="4"/>
      <c r="Z363" s="4"/>
      <c r="AA363" s="4"/>
      <c r="AB363" s="4" t="s">
        <v>851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 t="s">
        <v>958</v>
      </c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>
        <v>0</v>
      </c>
      <c r="CV363" s="4">
        <v>10000</v>
      </c>
      <c r="CW363" s="4">
        <v>1000</v>
      </c>
      <c r="CX363" s="4"/>
      <c r="CY363" s="4"/>
      <c r="CZ363" s="4"/>
    </row>
    <row r="364" spans="1:104" x14ac:dyDescent="0.2">
      <c r="A364" s="8" t="str">
        <f>Column!$C364&amp;"_"&amp;Column!$G364</f>
        <v>Results_NumB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537</v>
      </c>
      <c r="H364" s="4" t="s">
        <v>545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>
        <v>1</v>
      </c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499</v>
      </c>
      <c r="Y364" s="4"/>
      <c r="Z364" s="4"/>
      <c r="AA364" s="4"/>
      <c r="AB364" s="4" t="s">
        <v>851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958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/>
      <c r="CK364" s="4">
        <v>1</v>
      </c>
      <c r="CL364" s="4"/>
      <c r="CM364" s="4"/>
      <c r="CN364" s="4"/>
      <c r="CO364" s="4"/>
      <c r="CP364" s="4"/>
      <c r="CQ364" s="4"/>
      <c r="CR364" s="4"/>
      <c r="CS364" s="4"/>
      <c r="CT364" s="4"/>
      <c r="CU364" s="4">
        <v>0</v>
      </c>
      <c r="CV364" s="4">
        <v>10000</v>
      </c>
      <c r="CW364" s="4">
        <v>1000</v>
      </c>
      <c r="CX364" s="4"/>
      <c r="CY364" s="4"/>
      <c r="CZ364" s="4"/>
    </row>
    <row r="365" spans="1:104" x14ac:dyDescent="0.2">
      <c r="A365" s="8" t="str">
        <f>Column!$C365&amp;"_"&amp;Column!$G365</f>
        <v>Results_NumC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538</v>
      </c>
      <c r="H365" s="4" t="s">
        <v>546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>
        <v>1</v>
      </c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499</v>
      </c>
      <c r="Y365" s="4"/>
      <c r="Z365" s="4"/>
      <c r="AA365" s="4"/>
      <c r="AB365" s="4" t="s">
        <v>851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958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/>
      <c r="CK365" s="4">
        <v>1</v>
      </c>
      <c r="CL365" s="4"/>
      <c r="CM365" s="4"/>
      <c r="CN365" s="4"/>
      <c r="CO365" s="4"/>
      <c r="CP365" s="4"/>
      <c r="CQ365" s="4"/>
      <c r="CR365" s="4"/>
      <c r="CS365" s="4"/>
      <c r="CT365" s="4"/>
      <c r="CU365" s="4">
        <v>0</v>
      </c>
      <c r="CV365" s="4">
        <v>10000</v>
      </c>
      <c r="CW365" s="4">
        <v>1000</v>
      </c>
      <c r="CX365" s="4"/>
      <c r="CY365" s="4"/>
      <c r="CZ365" s="4"/>
    </row>
    <row r="366" spans="1:104" x14ac:dyDescent="0.2">
      <c r="A366" s="8" t="str">
        <f>Column!$C366&amp;"_"&amp;Column!$G366</f>
        <v>Results_NumD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539</v>
      </c>
      <c r="H366" s="4" t="s">
        <v>547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>
        <v>1</v>
      </c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499</v>
      </c>
      <c r="Y366" s="4"/>
      <c r="Z366" s="4"/>
      <c r="AA366" s="4"/>
      <c r="AB366" s="4" t="s">
        <v>851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958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/>
      <c r="CK366" s="4">
        <v>1</v>
      </c>
      <c r="CL366" s="4"/>
      <c r="CM366" s="4"/>
      <c r="CN366" s="4"/>
      <c r="CO366" s="4"/>
      <c r="CP366" s="4"/>
      <c r="CQ366" s="4"/>
      <c r="CR366" s="4"/>
      <c r="CS366" s="4"/>
      <c r="CT366" s="4"/>
      <c r="CU366" s="4">
        <v>0</v>
      </c>
      <c r="CV366" s="4">
        <v>10000</v>
      </c>
      <c r="CW366" s="4">
        <v>1000</v>
      </c>
      <c r="CX366" s="4"/>
      <c r="CY366" s="4"/>
      <c r="CZ366" s="4"/>
    </row>
    <row r="367" spans="1:104" x14ac:dyDescent="0.2">
      <c r="A367" s="8" t="str">
        <f>Column!$C367&amp;"_"&amp;Column!$G367</f>
        <v>Results_NumE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540</v>
      </c>
      <c r="H367" s="4" t="s">
        <v>548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>
        <v>1</v>
      </c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499</v>
      </c>
      <c r="Y367" s="4"/>
      <c r="Z367" s="4"/>
      <c r="AA367" s="4"/>
      <c r="AB367" s="4" t="s">
        <v>851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958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/>
      <c r="CK367" s="4">
        <v>1</v>
      </c>
      <c r="CL367" s="4"/>
      <c r="CM367" s="4"/>
      <c r="CN367" s="4"/>
      <c r="CO367" s="4"/>
      <c r="CP367" s="4"/>
      <c r="CQ367" s="4"/>
      <c r="CR367" s="4"/>
      <c r="CS367" s="4"/>
      <c r="CT367" s="4"/>
      <c r="CU367" s="4">
        <v>0</v>
      </c>
      <c r="CV367" s="4">
        <v>10000</v>
      </c>
      <c r="CW367" s="4">
        <v>1000</v>
      </c>
      <c r="CX367" s="4"/>
      <c r="CY367" s="4"/>
      <c r="CZ367" s="4"/>
    </row>
    <row r="368" spans="1:104" x14ac:dyDescent="0.2">
      <c r="A368" s="8" t="str">
        <f>Column!$C368&amp;"_"&amp;Column!$G368</f>
        <v>Results_NumF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541</v>
      </c>
      <c r="H368" s="4" t="s">
        <v>549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>
        <v>1</v>
      </c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499</v>
      </c>
      <c r="Y368" s="4"/>
      <c r="Z368" s="4"/>
      <c r="AA368" s="4"/>
      <c r="AB368" s="4" t="s">
        <v>851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958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/>
      <c r="CK368" s="4">
        <v>1</v>
      </c>
      <c r="CL368" s="4"/>
      <c r="CM368" s="4"/>
      <c r="CN368" s="4"/>
      <c r="CO368" s="4"/>
      <c r="CP368" s="4"/>
      <c r="CQ368" s="4"/>
      <c r="CR368" s="4"/>
      <c r="CS368" s="4"/>
      <c r="CT368" s="4"/>
      <c r="CU368" s="4">
        <v>0</v>
      </c>
      <c r="CV368" s="4">
        <v>10000</v>
      </c>
      <c r="CW368" s="4">
        <v>1000</v>
      </c>
      <c r="CX368" s="4"/>
      <c r="CY368" s="4"/>
      <c r="CZ368" s="4"/>
    </row>
    <row r="369" spans="1:104" x14ac:dyDescent="0.2">
      <c r="A369" s="8" t="str">
        <f>Column!$C369&amp;"_"&amp;Column!$G369</f>
        <v>Results_NumG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542</v>
      </c>
      <c r="H369" s="4" t="s">
        <v>550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>
        <v>1</v>
      </c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499</v>
      </c>
      <c r="Y369" s="4"/>
      <c r="Z369" s="4"/>
      <c r="AA369" s="4"/>
      <c r="AB369" s="4" t="s">
        <v>851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958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/>
      <c r="CK369" s="4">
        <v>1</v>
      </c>
      <c r="CL369" s="4"/>
      <c r="CM369" s="4"/>
      <c r="CN369" s="4"/>
      <c r="CO369" s="4"/>
      <c r="CP369" s="4"/>
      <c r="CQ369" s="4"/>
      <c r="CR369" s="4"/>
      <c r="CS369" s="4"/>
      <c r="CT369" s="4"/>
      <c r="CU369" s="4">
        <v>0</v>
      </c>
      <c r="CV369" s="4">
        <v>10000</v>
      </c>
      <c r="CW369" s="4">
        <v>1000</v>
      </c>
      <c r="CX369" s="4"/>
      <c r="CY369" s="4"/>
      <c r="CZ369" s="4"/>
    </row>
    <row r="370" spans="1:104" x14ac:dyDescent="0.2">
      <c r="A370" s="8" t="str">
        <f>Column!$C370&amp;"_"&amp;Column!$G370</f>
        <v>Results_NumH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543</v>
      </c>
      <c r="H370" s="4" t="s">
        <v>551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>
        <v>1</v>
      </c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499</v>
      </c>
      <c r="Y370" s="4"/>
      <c r="Z370" s="4"/>
      <c r="AA370" s="4"/>
      <c r="AB370" s="4" t="s">
        <v>851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958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/>
      <c r="CK370" s="4">
        <v>1</v>
      </c>
      <c r="CL370" s="4"/>
      <c r="CM370" s="4"/>
      <c r="CN370" s="4"/>
      <c r="CO370" s="4"/>
      <c r="CP370" s="4"/>
      <c r="CQ370" s="4"/>
      <c r="CR370" s="4"/>
      <c r="CS370" s="4"/>
      <c r="CT370" s="4"/>
      <c r="CU370" s="4">
        <v>0</v>
      </c>
      <c r="CV370" s="4">
        <v>10000</v>
      </c>
      <c r="CW370" s="4">
        <v>1000</v>
      </c>
      <c r="CX370" s="4"/>
      <c r="CY370" s="4"/>
      <c r="CZ370" s="4"/>
    </row>
    <row r="371" spans="1:104" x14ac:dyDescent="0.2">
      <c r="A371" s="8" t="str">
        <f>Column!$C371&amp;"_"&amp;Column!$G371</f>
        <v>Results_NumI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821</v>
      </c>
      <c r="H371" s="4" t="s">
        <v>829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>
        <v>1</v>
      </c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Results_NumJ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822</v>
      </c>
      <c r="H372" s="4" t="s">
        <v>830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>
        <v>1</v>
      </c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Results_NumK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823</v>
      </c>
      <c r="H373" s="4" t="s">
        <v>831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>
        <v>1</v>
      </c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Results_NumL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824</v>
      </c>
      <c r="H374" s="4" t="s">
        <v>832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>
        <v>1</v>
      </c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Results_NumM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825</v>
      </c>
      <c r="H375" s="4" t="s">
        <v>833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>
        <v>1</v>
      </c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Results_NumN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826</v>
      </c>
      <c r="H376" s="4" t="s">
        <v>834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>
        <v>1</v>
      </c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Results_NumO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827</v>
      </c>
      <c r="H377" s="4" t="s">
        <v>835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>
        <v>1</v>
      </c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Results_NumP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828</v>
      </c>
      <c r="H378" s="4" t="s">
        <v>836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>
        <v>1</v>
      </c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Results_NumQ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864</v>
      </c>
      <c r="H379" s="4" t="s">
        <v>914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>
        <v>1</v>
      </c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Results_NumR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865</v>
      </c>
      <c r="H380" s="4" t="s">
        <v>915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>
        <v>1</v>
      </c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Results_NumS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866</v>
      </c>
      <c r="H381" s="4" t="s">
        <v>916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>
        <v>1</v>
      </c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Results_NumT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867</v>
      </c>
      <c r="H382" s="4" t="s">
        <v>917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>
        <v>1</v>
      </c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Results_NumU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868</v>
      </c>
      <c r="H383" s="4" t="s">
        <v>918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>
        <v>1</v>
      </c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Results_NumV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869</v>
      </c>
      <c r="H384" s="4" t="s">
        <v>919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>
        <v>1</v>
      </c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Results_NumW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870</v>
      </c>
      <c r="H385" s="4" t="s">
        <v>920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>
        <v>1</v>
      </c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Results_NumX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871</v>
      </c>
      <c r="H386" s="4" t="s">
        <v>921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>
        <v>1</v>
      </c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Results_NumY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872</v>
      </c>
      <c r="H387" s="4" t="s">
        <v>922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>
        <v>1</v>
      </c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Results_NumZ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873</v>
      </c>
      <c r="H388" s="4" t="s">
        <v>923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>
        <v>1</v>
      </c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Results_DateA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552</v>
      </c>
      <c r="H389" s="4" t="s">
        <v>560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508</v>
      </c>
      <c r="CA389" s="9" t="s">
        <v>507</v>
      </c>
      <c r="CB389" s="9" t="s">
        <v>507</v>
      </c>
      <c r="CC389" s="9"/>
      <c r="CD389" s="9"/>
      <c r="CE389" s="4"/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>
        <v>-365</v>
      </c>
      <c r="CQ389" s="4">
        <v>365</v>
      </c>
      <c r="CR389" s="4">
        <v>1</v>
      </c>
      <c r="CS389" s="4"/>
      <c r="CT389" s="4"/>
      <c r="CU389" s="4"/>
      <c r="CV389" s="4"/>
      <c r="CW389" s="4"/>
      <c r="CX389" s="4">
        <v>50</v>
      </c>
      <c r="CY389" s="4"/>
      <c r="CZ389" s="4"/>
    </row>
    <row r="390" spans="1:104" x14ac:dyDescent="0.2">
      <c r="A390" s="8" t="str">
        <f>Column!$C390&amp;"_"&amp;Column!$G390</f>
        <v>Results_DateB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553</v>
      </c>
      <c r="H390" s="4" t="s">
        <v>561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>
        <v>-365</v>
      </c>
      <c r="CQ390" s="4">
        <v>365</v>
      </c>
      <c r="CR390" s="4">
        <v>1</v>
      </c>
      <c r="CS390" s="4"/>
      <c r="CT390" s="4"/>
      <c r="CU390" s="4"/>
      <c r="CV390" s="4"/>
      <c r="CW390" s="4"/>
      <c r="CX390" s="4">
        <v>50</v>
      </c>
      <c r="CY390" s="4"/>
      <c r="CZ390" s="4"/>
    </row>
    <row r="391" spans="1:104" x14ac:dyDescent="0.2">
      <c r="A391" s="8" t="str">
        <f>Column!$C391&amp;"_"&amp;Column!$G391</f>
        <v>Results_DateC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554</v>
      </c>
      <c r="H391" s="4" t="s">
        <v>562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>
        <v>-365</v>
      </c>
      <c r="CQ391" s="4">
        <v>365</v>
      </c>
      <c r="CR391" s="4">
        <v>1</v>
      </c>
      <c r="CS391" s="4"/>
      <c r="CT391" s="4"/>
      <c r="CU391" s="4"/>
      <c r="CV391" s="4"/>
      <c r="CW391" s="4"/>
      <c r="CX391" s="4">
        <v>50</v>
      </c>
      <c r="CY391" s="4"/>
      <c r="CZ391" s="4"/>
    </row>
    <row r="392" spans="1:104" x14ac:dyDescent="0.2">
      <c r="A392" s="8" t="str">
        <f>Column!$C392&amp;"_"&amp;Column!$G392</f>
        <v>Results_DateD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555</v>
      </c>
      <c r="H392" s="4" t="s">
        <v>563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>
        <v>-365</v>
      </c>
      <c r="CQ392" s="4">
        <v>365</v>
      </c>
      <c r="CR392" s="4">
        <v>1</v>
      </c>
      <c r="CS392" s="4"/>
      <c r="CT392" s="4"/>
      <c r="CU392" s="4"/>
      <c r="CV392" s="4"/>
      <c r="CW392" s="4"/>
      <c r="CX392" s="4">
        <v>50</v>
      </c>
      <c r="CY392" s="4"/>
      <c r="CZ392" s="4"/>
    </row>
    <row r="393" spans="1:104" x14ac:dyDescent="0.2">
      <c r="A393" s="8" t="str">
        <f>Column!$C393&amp;"_"&amp;Column!$G393</f>
        <v>Results_DateE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556</v>
      </c>
      <c r="H393" s="4" t="s">
        <v>564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>
        <v>-365</v>
      </c>
      <c r="CQ393" s="4">
        <v>365</v>
      </c>
      <c r="CR393" s="4">
        <v>1</v>
      </c>
      <c r="CS393" s="4"/>
      <c r="CT393" s="4"/>
      <c r="CU393" s="4"/>
      <c r="CV393" s="4"/>
      <c r="CW393" s="4"/>
      <c r="CX393" s="4">
        <v>50</v>
      </c>
      <c r="CY393" s="4"/>
      <c r="CZ393" s="4"/>
    </row>
    <row r="394" spans="1:104" x14ac:dyDescent="0.2">
      <c r="A394" s="8" t="str">
        <f>Column!$C394&amp;"_"&amp;Column!$G394</f>
        <v>Results_DateF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557</v>
      </c>
      <c r="H394" s="4" t="s">
        <v>565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>
        <v>-365</v>
      </c>
      <c r="CQ394" s="4">
        <v>365</v>
      </c>
      <c r="CR394" s="4">
        <v>1</v>
      </c>
      <c r="CS394" s="4"/>
      <c r="CT394" s="4"/>
      <c r="CU394" s="4"/>
      <c r="CV394" s="4"/>
      <c r="CW394" s="4"/>
      <c r="CX394" s="4">
        <v>50</v>
      </c>
      <c r="CY394" s="4"/>
      <c r="CZ394" s="4"/>
    </row>
    <row r="395" spans="1:104" x14ac:dyDescent="0.2">
      <c r="A395" s="8" t="str">
        <f>Column!$C395&amp;"_"&amp;Column!$G395</f>
        <v>Results_DateG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558</v>
      </c>
      <c r="H395" s="4" t="s">
        <v>566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>
        <v>-365</v>
      </c>
      <c r="CQ395" s="4">
        <v>365</v>
      </c>
      <c r="CR395" s="4">
        <v>1</v>
      </c>
      <c r="CS395" s="4"/>
      <c r="CT395" s="4"/>
      <c r="CU395" s="4"/>
      <c r="CV395" s="4"/>
      <c r="CW395" s="4"/>
      <c r="CX395" s="4">
        <v>50</v>
      </c>
      <c r="CY395" s="4"/>
      <c r="CZ395" s="4"/>
    </row>
    <row r="396" spans="1:104" x14ac:dyDescent="0.2">
      <c r="A396" s="8" t="str">
        <f>Column!$C396&amp;"_"&amp;Column!$G396</f>
        <v>Results_DateH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559</v>
      </c>
      <c r="H396" s="4" t="s">
        <v>567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>
        <v>-365</v>
      </c>
      <c r="CQ396" s="4">
        <v>365</v>
      </c>
      <c r="CR396" s="4">
        <v>1</v>
      </c>
      <c r="CS396" s="4"/>
      <c r="CT396" s="4"/>
      <c r="CU396" s="4"/>
      <c r="CV396" s="4"/>
      <c r="CW396" s="4"/>
      <c r="CX396" s="4">
        <v>50</v>
      </c>
      <c r="CY396" s="4"/>
      <c r="CZ396" s="4"/>
    </row>
    <row r="397" spans="1:104" x14ac:dyDescent="0.2">
      <c r="A397" s="11" t="str">
        <f>Column!$C397&amp;"_"&amp;Column!$G397</f>
        <v>Results_DateI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805</v>
      </c>
      <c r="H397" s="4" t="s">
        <v>810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11" t="str">
        <f>Column!$C398&amp;"_"&amp;Column!$G398</f>
        <v>Results_DateJ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806</v>
      </c>
      <c r="H398" s="4" t="s">
        <v>811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11" t="str">
        <f>Column!$C399&amp;"_"&amp;Column!$G399</f>
        <v>Results_DateK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807</v>
      </c>
      <c r="H399" s="4" t="s">
        <v>812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11" t="str">
        <f>Column!$C400&amp;"_"&amp;Column!$G400</f>
        <v>Results_DateL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808</v>
      </c>
      <c r="H400" s="4" t="s">
        <v>815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11" t="str">
        <f>Column!$C401&amp;"_"&amp;Column!$G401</f>
        <v>Results_DateM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809</v>
      </c>
      <c r="H401" s="4" t="s">
        <v>813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11" t="str">
        <f>Column!$C402&amp;"_"&amp;Column!$G402</f>
        <v>Results_DateN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818</v>
      </c>
      <c r="H402" s="4" t="s">
        <v>814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11" t="str">
        <f>Column!$C403&amp;"_"&amp;Column!$G403</f>
        <v>Results_DateO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819</v>
      </c>
      <c r="H403" s="4" t="s">
        <v>816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11" t="str">
        <f>Column!$C404&amp;"_"&amp;Column!$G404</f>
        <v>Results_DateP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820</v>
      </c>
      <c r="H404" s="4" t="s">
        <v>817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Results_DateQ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874</v>
      </c>
      <c r="H405" s="4" t="s">
        <v>924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Results_DateR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875</v>
      </c>
      <c r="H406" s="4" t="s">
        <v>925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Results_DateS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876</v>
      </c>
      <c r="H407" s="4" t="s">
        <v>926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Results_DateT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877</v>
      </c>
      <c r="H408" s="4" t="s">
        <v>927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Results_DateU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878</v>
      </c>
      <c r="H409" s="4" t="s">
        <v>928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Results_DateV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879</v>
      </c>
      <c r="H410" s="4" t="s">
        <v>929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Results_DateW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880</v>
      </c>
      <c r="H411" s="4" t="s">
        <v>930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Results_DateX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881</v>
      </c>
      <c r="H412" s="4" t="s">
        <v>931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Results_DateY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882</v>
      </c>
      <c r="H413" s="4" t="s">
        <v>932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Results_DateZ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883</v>
      </c>
      <c r="H414" s="4" t="s">
        <v>933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Results_DescriptionA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717</v>
      </c>
      <c r="H415" s="4" t="s">
        <v>725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239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</row>
    <row r="416" spans="1:104" x14ac:dyDescent="0.2">
      <c r="A416" s="11" t="str">
        <f>Column!$C416&amp;"_"&amp;Column!$G416</f>
        <v>Results_DescriptionB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718</v>
      </c>
      <c r="H416" s="4" t="s">
        <v>726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</row>
    <row r="417" spans="1:104" x14ac:dyDescent="0.2">
      <c r="A417" s="11" t="str">
        <f>Column!$C417&amp;"_"&amp;Column!$G417</f>
        <v>Results_DescriptionC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719</v>
      </c>
      <c r="H417" s="4" t="s">
        <v>727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</row>
    <row r="418" spans="1:104" x14ac:dyDescent="0.2">
      <c r="A418" s="11" t="str">
        <f>Column!$C418&amp;"_"&amp;Column!$G418</f>
        <v>Results_DescriptionD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720</v>
      </c>
      <c r="H418" s="4" t="s">
        <v>728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</row>
    <row r="419" spans="1:104" x14ac:dyDescent="0.2">
      <c r="A419" s="11" t="str">
        <f>Column!$C419&amp;"_"&amp;Column!$G419</f>
        <v>Results_DescriptionE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721</v>
      </c>
      <c r="H419" s="4" t="s">
        <v>729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</row>
    <row r="420" spans="1:104" x14ac:dyDescent="0.2">
      <c r="A420" s="11" t="str">
        <f>Column!$C420&amp;"_"&amp;Column!$G420</f>
        <v>Results_DescriptionF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722</v>
      </c>
      <c r="H420" s="4" t="s">
        <v>730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</row>
    <row r="421" spans="1:104" x14ac:dyDescent="0.2">
      <c r="A421" s="11" t="str">
        <f>Column!$C421&amp;"_"&amp;Column!$G421</f>
        <v>Results_DescriptionG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723</v>
      </c>
      <c r="H421" s="4" t="s">
        <v>731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</row>
    <row r="422" spans="1:104" x14ac:dyDescent="0.2">
      <c r="A422" s="11" t="str">
        <f>Column!$C422&amp;"_"&amp;Column!$G422</f>
        <v>Results_DescriptionH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724</v>
      </c>
      <c r="H422" s="4" t="s">
        <v>732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</row>
    <row r="423" spans="1:104" x14ac:dyDescent="0.2">
      <c r="A423" s="11" t="str">
        <f>Column!$C423&amp;"_"&amp;Column!$G423</f>
        <v>Results_DescriptionI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789</v>
      </c>
      <c r="H423" s="4" t="s">
        <v>797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Results_DescriptionJ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790</v>
      </c>
      <c r="H424" s="4" t="s">
        <v>798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Results_DescriptionK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791</v>
      </c>
      <c r="H425" s="4" t="s">
        <v>799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Results_DescriptionL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792</v>
      </c>
      <c r="H426" s="4" t="s">
        <v>800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Results_DescriptionM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793</v>
      </c>
      <c r="H427" s="4" t="s">
        <v>801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Results_DescriptionN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794</v>
      </c>
      <c r="H428" s="4" t="s">
        <v>802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Results_DescriptionO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795</v>
      </c>
      <c r="H429" s="4" t="s">
        <v>803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Results_DescriptionP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796</v>
      </c>
      <c r="H430" s="4" t="s">
        <v>804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Results_DescriptionQ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884</v>
      </c>
      <c r="H431" s="4" t="s">
        <v>934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Results_DescriptionR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885</v>
      </c>
      <c r="H432" s="4" t="s">
        <v>935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Results_DescriptionS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886</v>
      </c>
      <c r="H433" s="4" t="s">
        <v>936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Results_DescriptionT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887</v>
      </c>
      <c r="H434" s="4" t="s">
        <v>937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Results_DescriptionU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888</v>
      </c>
      <c r="H435" s="4" t="s">
        <v>938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Results_DescriptionV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889</v>
      </c>
      <c r="H436" s="4" t="s">
        <v>939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Results_DescriptionW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890</v>
      </c>
      <c r="H437" s="4" t="s">
        <v>940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Results_DescriptionX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891</v>
      </c>
      <c r="H438" s="4" t="s">
        <v>941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Results_DescriptionY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892</v>
      </c>
      <c r="H439" s="4" t="s">
        <v>942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Results_DescriptionZ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893</v>
      </c>
      <c r="H440" s="4" t="s">
        <v>943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Results_CheckA</v>
      </c>
      <c r="B441" s="4" t="s">
        <v>612</v>
      </c>
      <c r="C441" s="4" t="s">
        <v>611</v>
      </c>
      <c r="D441" s="4"/>
      <c r="E441" s="4"/>
      <c r="F441" s="4" t="s">
        <v>715</v>
      </c>
      <c r="G441" s="12" t="s">
        <v>734</v>
      </c>
      <c r="H441" s="12" t="s">
        <v>742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750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Results_CheckB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735</v>
      </c>
      <c r="H442" s="12" t="s">
        <v>743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Results_CheckC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736</v>
      </c>
      <c r="H443" s="12" t="s">
        <v>744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Results_CheckD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737</v>
      </c>
      <c r="H444" s="12" t="s">
        <v>745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Results_CheckE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738</v>
      </c>
      <c r="H445" s="12" t="s">
        <v>746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Results_CheckF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739</v>
      </c>
      <c r="H446" s="12" t="s">
        <v>747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Results_CheckG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740</v>
      </c>
      <c r="H447" s="12" t="s">
        <v>748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Results_CheckH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741</v>
      </c>
      <c r="H448" s="12" t="s">
        <v>749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Results_CheckI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773</v>
      </c>
      <c r="H449" s="12" t="s">
        <v>781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Results_CheckJ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774</v>
      </c>
      <c r="H450" s="12" t="s">
        <v>782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Results_CheckK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775</v>
      </c>
      <c r="H451" s="12" t="s">
        <v>783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Results_CheckL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776</v>
      </c>
      <c r="H452" s="12" t="s">
        <v>784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Results_CheckM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777</v>
      </c>
      <c r="H453" s="12" t="s">
        <v>785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Results_CheckN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778</v>
      </c>
      <c r="H454" s="12" t="s">
        <v>786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Results_CheckO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779</v>
      </c>
      <c r="H455" s="12" t="s">
        <v>787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Results_CheckP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780</v>
      </c>
      <c r="H456" s="12" t="s">
        <v>788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Results_CheckQ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894</v>
      </c>
      <c r="H457" s="12" t="s">
        <v>944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Results_CheckR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895</v>
      </c>
      <c r="H458" s="12" t="s">
        <v>945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Results_CheckS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896</v>
      </c>
      <c r="H459" s="12" t="s">
        <v>946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Results_CheckT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897</v>
      </c>
      <c r="H460" s="12" t="s">
        <v>947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Results_CheckU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898</v>
      </c>
      <c r="H461" s="12" t="s">
        <v>948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Results_CheckV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899</v>
      </c>
      <c r="H462" s="12" t="s">
        <v>949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Results_CheckW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900</v>
      </c>
      <c r="H463" s="12" t="s">
        <v>950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Results_CheckX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901</v>
      </c>
      <c r="H464" s="12" t="s">
        <v>951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Results_CheckY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902</v>
      </c>
      <c r="H465" s="12" t="s">
        <v>952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Results_CheckZ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903</v>
      </c>
      <c r="H466" s="12" t="s">
        <v>953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Wikis_WikiId</v>
      </c>
      <c r="B467" s="12" t="s">
        <v>659</v>
      </c>
      <c r="C467" s="12" t="s">
        <v>660</v>
      </c>
      <c r="D467" s="12"/>
      <c r="E467" s="12"/>
      <c r="F467" s="12" t="s">
        <v>661</v>
      </c>
      <c r="G467" s="12" t="s">
        <v>662</v>
      </c>
      <c r="H467" s="12" t="s">
        <v>842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>
        <v>1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>
        <v>40</v>
      </c>
      <c r="BN467" s="4">
        <v>1</v>
      </c>
      <c r="BO467" s="4"/>
      <c r="BP467" s="4" t="s">
        <v>955</v>
      </c>
      <c r="BQ467" s="4"/>
      <c r="BR467" s="4"/>
      <c r="BS467" s="4"/>
      <c r="BT467" s="4"/>
      <c r="BU467" s="4"/>
      <c r="BV467" s="4"/>
      <c r="BW467" s="4"/>
      <c r="BX467" s="4"/>
      <c r="BY467" s="4" t="s">
        <v>120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>
        <v>1</v>
      </c>
      <c r="CZ46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2017-02-03T06:05:00Z</dcterms:modified>
</cp:coreProperties>
</file>