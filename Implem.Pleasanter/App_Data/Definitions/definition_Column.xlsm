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5" i="1" l="1"/>
  <c r="A164" i="1" l="1"/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7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08" i="1" l="1"/>
  <c r="A95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1" i="1" l="1"/>
  <c r="A212" i="1" l="1"/>
  <c r="A213" i="1"/>
  <c r="A214" i="1"/>
  <c r="A215" i="1"/>
  <c r="A216" i="1"/>
  <c r="A217" i="1"/>
  <c r="A218" i="1"/>
  <c r="A219" i="1"/>
  <c r="A469" i="1" l="1"/>
  <c r="A180" i="1" l="1"/>
  <c r="A143" i="1"/>
  <c r="A149" i="1" l="1"/>
  <c r="A200" i="1" l="1"/>
  <c r="A168" i="1" l="1"/>
  <c r="A144" i="1" l="1"/>
  <c r="A142" i="1"/>
  <c r="A145" i="1" l="1"/>
  <c r="A179" i="1" l="1"/>
  <c r="A152" i="1" l="1"/>
  <c r="A141" i="1" l="1"/>
  <c r="A139" i="1"/>
  <c r="A140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6" i="1" l="1"/>
  <c r="A158" i="1" l="1"/>
  <c r="A159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0" i="1" l="1"/>
  <c r="A199" i="1" l="1"/>
  <c r="A198" i="1" l="1"/>
  <c r="A196" i="1"/>
  <c r="A163" i="1" l="1"/>
  <c r="A166" i="1" l="1"/>
  <c r="A167" i="1"/>
  <c r="A169" i="1"/>
  <c r="A15" i="1" l="1"/>
  <c r="A126" i="1" l="1"/>
  <c r="A78" i="1" l="1"/>
  <c r="A79" i="1"/>
  <c r="A68" i="1" l="1"/>
  <c r="A105" i="1" l="1"/>
  <c r="A106" i="1"/>
  <c r="A102" i="1" l="1"/>
  <c r="A104" i="1"/>
  <c r="A103" i="1" l="1"/>
  <c r="A170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7" i="1" l="1"/>
  <c r="A201" i="1"/>
  <c r="A62" i="1" l="1"/>
  <c r="A93" i="1"/>
  <c r="A114" i="1"/>
  <c r="A71" i="1"/>
  <c r="A174" i="1" l="1"/>
  <c r="A175" i="1" l="1"/>
  <c r="A173" i="1" l="1"/>
  <c r="A171" i="1"/>
  <c r="A172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5" i="1"/>
  <c r="A209" i="1"/>
  <c r="A210" i="1"/>
  <c r="A211" i="1"/>
</calcChain>
</file>

<file path=xl/sharedStrings.xml><?xml version="1.0" encoding="utf-8"?>
<sst xmlns="http://schemas.openxmlformats.org/spreadsheetml/2006/main" count="3942" uniqueCount="1000">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</sst>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9" totalsRowShown="0" headerRowDxfId="98" dataDxfId="97" tableBorderDxfId="96">
  <autoFilter ref="A1:CR469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9"/>
  <sheetViews>
    <sheetView showGridLines="0" tabSelected="1" topLeftCell="B1" zoomScale="70" zoomScaleNormal="70" workbookViewId="0">
      <pane xSplit="8" ySplit="2" topLeftCell="AR53" activePane="bottomRight" state="frozen"/>
      <selection activeCell="B1" sqref="B1"/>
      <selection pane="topRight" activeCell="J1" sqref="J1"/>
      <selection pane="bottomLeft" activeCell="B3" sqref="B3"/>
      <selection pane="bottomRight" activeCell="BF77" sqref="BF7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>
        <v>1</v>
      </c>
      <c r="BP154" s="4"/>
      <c r="BQ154" s="4" t="s">
        <v>973</v>
      </c>
      <c r="BR154" s="4"/>
      <c r="BS154" s="4"/>
      <c r="BT154" s="4"/>
      <c r="BU154" s="4"/>
      <c r="BV154" s="4"/>
      <c r="BW154" s="4"/>
      <c r="BX154" s="4"/>
      <c r="BY154" s="4"/>
      <c r="BZ154" s="4" t="s">
        <v>122</v>
      </c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>
        <v>1</v>
      </c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>
        <v>1</v>
      </c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Sites_TitleColumns</v>
      </c>
      <c r="B165" s="4" t="s">
        <v>29</v>
      </c>
      <c r="C165" s="4" t="s">
        <v>141</v>
      </c>
      <c r="D165" s="4"/>
      <c r="E165" s="4"/>
      <c r="F165" s="4" t="s">
        <v>287</v>
      </c>
      <c r="G165" s="4" t="s">
        <v>997</v>
      </c>
      <c r="H165" s="4" t="s">
        <v>998</v>
      </c>
      <c r="I165" s="4">
        <v>111</v>
      </c>
      <c r="J165" s="4">
        <v>111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111</v>
      </c>
      <c r="U165" s="4"/>
      <c r="V165" s="4">
        <v>111</v>
      </c>
      <c r="W165" s="4"/>
      <c r="X165" s="4" t="s">
        <v>987</v>
      </c>
      <c r="Y165" s="4" t="s">
        <v>987</v>
      </c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 t="s">
        <v>244</v>
      </c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 t="s">
        <v>999</v>
      </c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>
        <v>1</v>
      </c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Orders_ReferenceId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449</v>
      </c>
      <c r="H166" s="4" t="s">
        <v>451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Orders_ReferenceType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448</v>
      </c>
      <c r="H167" s="4" t="s">
        <v>450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</row>
    <row r="168" spans="1:96" x14ac:dyDescent="0.2">
      <c r="A168" s="4" t="str">
        <f>Column!$C168&amp;"_"&amp;Column!$G168</f>
        <v>Orders_OwnerId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200</v>
      </c>
      <c r="H168" s="4" t="s">
        <v>339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9"/>
      <c r="CA168" s="9"/>
      <c r="CB168" s="9"/>
      <c r="CC168" s="9"/>
      <c r="CD168" s="9"/>
      <c r="CE168" s="9"/>
      <c r="CF168" s="5"/>
      <c r="CG168" s="5"/>
      <c r="CH168" s="5"/>
      <c r="CI168" s="5"/>
      <c r="CJ168" s="4"/>
      <c r="CK168" s="4"/>
      <c r="CL168" s="5"/>
      <c r="CM168" s="5"/>
      <c r="CN168" s="5"/>
      <c r="CO168" s="5"/>
      <c r="CP168" s="5"/>
      <c r="CQ168" s="5"/>
      <c r="CR168" s="4"/>
    </row>
    <row r="169" spans="1:96" x14ac:dyDescent="0.2">
      <c r="A169" s="4" t="str">
        <f>Column!$C169&amp;"_"&amp;Column!$G169</f>
        <v>Orders_Data</v>
      </c>
      <c r="B169" s="4" t="s">
        <v>494</v>
      </c>
      <c r="C169" s="4" t="s">
        <v>493</v>
      </c>
      <c r="D169" s="4"/>
      <c r="E169" s="4"/>
      <c r="F169" s="4" t="s">
        <v>495</v>
      </c>
      <c r="G169" s="4" t="s">
        <v>498</v>
      </c>
      <c r="H169" s="4" t="s">
        <v>495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496</v>
      </c>
      <c r="Y169" s="4" t="s">
        <v>497</v>
      </c>
      <c r="Z169" s="4" t="s">
        <v>345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499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602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ExportSettings_ReferenceType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448</v>
      </c>
      <c r="H170" s="4" t="s">
        <v>450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141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ExportSettings_ReferenceId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449</v>
      </c>
      <c r="H171" s="4" t="s">
        <v>451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364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ExportSettings_Title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361</v>
      </c>
      <c r="H172" s="4" t="s">
        <v>362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377</v>
      </c>
      <c r="Z172" s="4" t="s">
        <v>378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386</v>
      </c>
      <c r="BH172" s="4" t="s">
        <v>596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ExportSettings_ExportSettingId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366</v>
      </c>
      <c r="H173" s="4" t="s">
        <v>372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364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 t="s">
        <v>122</v>
      </c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ExportSettings_AddHeader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367</v>
      </c>
      <c r="H174" s="4" t="s">
        <v>369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370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ExportSettings_ExportColumns</v>
      </c>
      <c r="B175" s="4" t="s">
        <v>349</v>
      </c>
      <c r="C175" s="4" t="s">
        <v>348</v>
      </c>
      <c r="D175" s="4"/>
      <c r="E175" s="4"/>
      <c r="F175" s="4" t="s">
        <v>350</v>
      </c>
      <c r="G175" s="4" t="s">
        <v>368</v>
      </c>
      <c r="H175" s="4" t="s">
        <v>363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365</v>
      </c>
      <c r="Y175" s="4" t="s">
        <v>371</v>
      </c>
      <c r="Z175" s="4" t="s">
        <v>345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603</v>
      </c>
      <c r="BI175" s="4" t="s">
        <v>452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>
        <v>1</v>
      </c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Links_DestinationId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541</v>
      </c>
      <c r="H176" s="4" t="s">
        <v>540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531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Links_SourceId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542</v>
      </c>
      <c r="H177" s="4" t="s">
        <v>539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531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Links_ReferenceType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448</v>
      </c>
      <c r="H178" s="4" t="s">
        <v>450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Links_SiteId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639</v>
      </c>
      <c r="H179" s="4" t="s">
        <v>640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Links_Title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667</v>
      </c>
      <c r="H180" s="4" t="s">
        <v>666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Links_Subset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638</v>
      </c>
      <c r="H181" s="4" t="s">
        <v>637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532</v>
      </c>
      <c r="AT181" s="4" t="s">
        <v>533</v>
      </c>
      <c r="AU181" s="4" t="s">
        <v>585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Links_SiteTitle</v>
      </c>
      <c r="B182" s="4" t="s">
        <v>530</v>
      </c>
      <c r="C182" s="4" t="s">
        <v>529</v>
      </c>
      <c r="D182" s="4"/>
      <c r="E182" s="4"/>
      <c r="F182" s="4" t="s">
        <v>528</v>
      </c>
      <c r="G182" s="4" t="s">
        <v>535</v>
      </c>
      <c r="H182" s="4" t="s">
        <v>534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141</v>
      </c>
      <c r="AT182" s="4" t="s">
        <v>533</v>
      </c>
      <c r="AU182" s="4" t="s">
        <v>586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657</v>
      </c>
      <c r="BM182" s="4" t="s">
        <v>538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Binaries_ReferenceId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717</v>
      </c>
      <c r="H183" s="4" t="s">
        <v>451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Binaries_BinaryId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704</v>
      </c>
      <c r="H184" s="4" t="s">
        <v>711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 t="s">
        <v>122</v>
      </c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Binaries_BinaryType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723</v>
      </c>
      <c r="H185" s="4" t="s">
        <v>724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Binaries_Title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705</v>
      </c>
      <c r="H186" s="4" t="s">
        <v>290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237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386</v>
      </c>
      <c r="BH186" s="4" t="s">
        <v>596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Binaries_Body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706</v>
      </c>
      <c r="H187" s="4" t="s">
        <v>712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 t="s">
        <v>243</v>
      </c>
      <c r="BQ187" s="4"/>
      <c r="BR187" s="4">
        <v>1</v>
      </c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Binaries_Bin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707</v>
      </c>
      <c r="H188" s="4" t="s">
        <v>713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402</v>
      </c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Binaries_Thumbnail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721</v>
      </c>
      <c r="H189" s="4" t="s">
        <v>719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Binaries_Icon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722</v>
      </c>
      <c r="H190" s="4" t="s">
        <v>720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399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604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Binaries_FileName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708</v>
      </c>
      <c r="H191" s="4" t="s">
        <v>396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Binaries_Extension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709</v>
      </c>
      <c r="H192" s="4" t="s">
        <v>397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Binaries_Size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394</v>
      </c>
      <c r="H193" s="4" t="s">
        <v>398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400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Binaries_BinarySettings</v>
      </c>
      <c r="B194" s="4" t="s">
        <v>701</v>
      </c>
      <c r="C194" s="4" t="s">
        <v>702</v>
      </c>
      <c r="D194" s="4"/>
      <c r="E194" s="4"/>
      <c r="F194" s="4" t="s">
        <v>703</v>
      </c>
      <c r="G194" s="4" t="s">
        <v>710</v>
      </c>
      <c r="H194" s="4" t="s">
        <v>714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718</v>
      </c>
      <c r="Z194" s="4" t="s">
        <v>344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715</v>
      </c>
      <c r="BI194" s="4" t="s">
        <v>716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</row>
    <row r="195" spans="1:96" x14ac:dyDescent="0.2">
      <c r="A195" s="4" t="str">
        <f>Column!$C195&amp;"_"&amp;Column!$G195</f>
        <v>Issues_IssueId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117</v>
      </c>
      <c r="H195" s="4" t="s">
        <v>856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>
        <v>1</v>
      </c>
      <c r="BP195" s="4"/>
      <c r="BQ195" s="4" t="s">
        <v>973</v>
      </c>
      <c r="BR195" s="4"/>
      <c r="BS195" s="4"/>
      <c r="BT195" s="4"/>
      <c r="BU195" s="4"/>
      <c r="BV195" s="4"/>
      <c r="BW195" s="4"/>
      <c r="BX195" s="4"/>
      <c r="BY195" s="4"/>
      <c r="BZ195" s="4" t="s">
        <v>122</v>
      </c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>
        <v>1</v>
      </c>
    </row>
    <row r="196" spans="1:96" x14ac:dyDescent="0.2">
      <c r="A196" s="4" t="str">
        <f>Column!$C196&amp;"_"&amp;Column!$G196</f>
        <v>Issues_StartTime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504</v>
      </c>
      <c r="H196" s="4" t="s">
        <v>503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644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4"/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/>
      <c r="CH196" s="4"/>
      <c r="CI196" s="4"/>
      <c r="CJ196" s="4"/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/>
    </row>
    <row r="197" spans="1:96" x14ac:dyDescent="0.2">
      <c r="A197" s="4" t="str">
        <f>Column!$C197&amp;"_"&amp;Column!$G197</f>
        <v>Issues_CompletionTime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525</v>
      </c>
      <c r="H197" s="4" t="s">
        <v>628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525</v>
      </c>
      <c r="Z197" s="4" t="s">
        <v>237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643</v>
      </c>
      <c r="BH197" s="4"/>
      <c r="BI197" s="4"/>
      <c r="BJ197" s="4"/>
      <c r="BK197" s="4" t="s">
        <v>861</v>
      </c>
      <c r="BL197" s="4"/>
      <c r="BM197" s="4"/>
      <c r="BN197" s="4"/>
      <c r="BO197" s="4"/>
      <c r="BP197" s="4"/>
      <c r="BQ197" s="4" t="s">
        <v>216</v>
      </c>
      <c r="BR197" s="4"/>
      <c r="BS197" s="4"/>
      <c r="BT197" s="4"/>
      <c r="BU197" s="4"/>
      <c r="BV197" s="4"/>
      <c r="BW197" s="4"/>
      <c r="BX197" s="4"/>
      <c r="BY197" s="4"/>
      <c r="BZ197" s="9" t="s">
        <v>185</v>
      </c>
      <c r="CA197" s="4" t="s">
        <v>518</v>
      </c>
      <c r="CB197" s="4" t="s">
        <v>517</v>
      </c>
      <c r="CC197" s="4" t="s">
        <v>517</v>
      </c>
      <c r="CD197" s="4"/>
      <c r="CE197" s="4"/>
      <c r="CF197" s="4"/>
      <c r="CG197" s="4">
        <v>7</v>
      </c>
      <c r="CH197" s="4"/>
      <c r="CI197" s="4"/>
      <c r="CJ197" s="4" t="s">
        <v>578</v>
      </c>
      <c r="CK197" s="4"/>
      <c r="CL197" s="4">
        <v>-365</v>
      </c>
      <c r="CM197" s="4">
        <v>365</v>
      </c>
      <c r="CN197" s="4">
        <v>1</v>
      </c>
      <c r="CO197" s="4"/>
      <c r="CP197" s="4"/>
      <c r="CQ197" s="4">
        <v>50</v>
      </c>
      <c r="CR197" s="4">
        <v>1</v>
      </c>
    </row>
    <row r="198" spans="1:96" x14ac:dyDescent="0.2">
      <c r="A198" s="4" t="str">
        <f>Column!$C198&amp;"_"&amp;Column!$G198</f>
        <v>Issues_WorkValue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589</v>
      </c>
      <c r="H198" s="4" t="s">
        <v>505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509</v>
      </c>
      <c r="Y198" s="4" t="s">
        <v>589</v>
      </c>
      <c r="Z198" s="4" t="s">
        <v>237</v>
      </c>
      <c r="AA198" s="4"/>
      <c r="AB198" s="4" t="s">
        <v>868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974</v>
      </c>
      <c r="BH198" s="4" t="s">
        <v>599</v>
      </c>
      <c r="BI198" s="4"/>
      <c r="BJ198" s="4"/>
      <c r="BK198" s="4" t="s">
        <v>862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>
        <v>1</v>
      </c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514</v>
      </c>
      <c r="CQ198" s="4"/>
      <c r="CR198" s="4"/>
    </row>
    <row r="199" spans="1:96" x14ac:dyDescent="0.2">
      <c r="A199" s="4" t="str">
        <f>Column!$C199&amp;"_"&amp;Column!$G199</f>
        <v>Issues_ProgressRate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507</v>
      </c>
      <c r="H199" s="4" t="s">
        <v>506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509</v>
      </c>
      <c r="Y199" s="4" t="s">
        <v>507</v>
      </c>
      <c r="Z199" s="4" t="s">
        <v>237</v>
      </c>
      <c r="AA199" s="4"/>
      <c r="AB199" s="4" t="s">
        <v>513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975</v>
      </c>
      <c r="BH199" s="4" t="s">
        <v>600</v>
      </c>
      <c r="BI199" s="4"/>
      <c r="BJ199" s="4"/>
      <c r="BK199" s="4" t="s">
        <v>526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9" t="s">
        <v>622</v>
      </c>
      <c r="CA199" s="9"/>
      <c r="CB199" s="9"/>
      <c r="CC199" s="9"/>
      <c r="CD199" s="9"/>
      <c r="CE199" s="9"/>
      <c r="CF199" s="4"/>
      <c r="CG199" s="4"/>
      <c r="CH199" s="4"/>
      <c r="CI199" s="4"/>
      <c r="CJ199" s="4"/>
      <c r="CK199" s="4">
        <v>1</v>
      </c>
      <c r="CL199" s="4">
        <v>0</v>
      </c>
      <c r="CM199" s="4">
        <v>100</v>
      </c>
      <c r="CN199" s="4">
        <v>0.1</v>
      </c>
      <c r="CO199" s="4"/>
      <c r="CP199" s="4" t="s">
        <v>512</v>
      </c>
      <c r="CQ199" s="4"/>
      <c r="CR199" s="4"/>
    </row>
    <row r="200" spans="1:96" x14ac:dyDescent="0.2">
      <c r="A200" s="4" t="str">
        <f>Column!$C200&amp;"_"&amp;Column!$G200</f>
        <v>Issues_RemainingWorkValue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649</v>
      </c>
      <c r="H200" s="4" t="s">
        <v>650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509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669</v>
      </c>
      <c r="BA200" s="4" t="s">
        <v>669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654</v>
      </c>
      <c r="BM200" s="4"/>
      <c r="BN200" s="4"/>
      <c r="BO200" s="4"/>
      <c r="BP200" s="4"/>
      <c r="BQ200" s="4" t="s">
        <v>973</v>
      </c>
      <c r="BR200" s="4"/>
      <c r="BS200" s="4"/>
      <c r="BT200" s="4"/>
      <c r="BU200" s="4"/>
      <c r="BV200" s="4"/>
      <c r="BW200" s="4"/>
      <c r="BX200" s="4"/>
      <c r="BY200" s="4"/>
      <c r="BZ200" s="9"/>
      <c r="CA200" s="9"/>
      <c r="CB200" s="9"/>
      <c r="CC200" s="9"/>
      <c r="CD200" s="9"/>
      <c r="CE200" s="9">
        <v>1</v>
      </c>
      <c r="CF200" s="4"/>
      <c r="CG200" s="4"/>
      <c r="CH200" s="4"/>
      <c r="CI200" s="4"/>
      <c r="CJ200" s="4"/>
      <c r="CK200" s="4">
        <v>1</v>
      </c>
      <c r="CL200" s="4"/>
      <c r="CM200" s="4"/>
      <c r="CN200" s="4"/>
      <c r="CO200" s="10" t="s">
        <v>653</v>
      </c>
      <c r="CP200" s="4" t="s">
        <v>651</v>
      </c>
      <c r="CQ200" s="4"/>
      <c r="CR200" s="4"/>
    </row>
    <row r="201" spans="1:96" x14ac:dyDescent="0.2">
      <c r="A201" s="4" t="str">
        <f>Column!$C201&amp;"_"&amp;Column!$G201</f>
        <v>Issues_Status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52</v>
      </c>
      <c r="H201" s="4" t="s">
        <v>260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236</v>
      </c>
      <c r="Z201" s="4" t="s">
        <v>237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642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 t="s">
        <v>217</v>
      </c>
      <c r="BR201" s="4"/>
      <c r="BS201" s="4"/>
      <c r="BT201" s="4"/>
      <c r="BU201" s="4"/>
      <c r="BV201" s="4"/>
      <c r="BW201" s="4"/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626</v>
      </c>
      <c r="CG201" s="5"/>
      <c r="CH201" s="5"/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Issues_Manager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615</v>
      </c>
      <c r="H202" s="4" t="s">
        <v>280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Issues_Owner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616</v>
      </c>
      <c r="H203" s="4" t="s">
        <v>279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151</v>
      </c>
      <c r="Y203" s="4" t="s">
        <v>610</v>
      </c>
      <c r="Z203" s="4" t="s">
        <v>617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611</v>
      </c>
      <c r="BH203" s="4" t="s">
        <v>612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>
        <v>1</v>
      </c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 t="s">
        <v>543</v>
      </c>
      <c r="CG203" s="5"/>
      <c r="CH203" s="5">
        <v>1</v>
      </c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Issues_ClassA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45</v>
      </c>
      <c r="H204" s="4" t="s">
        <v>252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Issues_ClassB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46</v>
      </c>
      <c r="H205" s="4" t="s">
        <v>253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Issues_ClassC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47</v>
      </c>
      <c r="H206" s="4" t="s">
        <v>254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5"/>
      <c r="CG206" s="5"/>
      <c r="CH206" s="5"/>
      <c r="CI206" s="5"/>
      <c r="CJ206" s="4"/>
      <c r="CK206" s="4"/>
      <c r="CL206" s="5"/>
      <c r="CM206" s="5"/>
      <c r="CN206" s="5"/>
      <c r="CO206" s="5"/>
      <c r="CP206" s="5"/>
      <c r="CQ206" s="5"/>
      <c r="CR206" s="4">
        <v>1</v>
      </c>
    </row>
    <row r="207" spans="1:96" x14ac:dyDescent="0.2">
      <c r="A207" s="4" t="str">
        <f>Column!$C207&amp;"_"&amp;Column!$G207</f>
        <v>Issues_ClassD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48</v>
      </c>
      <c r="H207" s="4" t="s">
        <v>255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Issues_ClassE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49</v>
      </c>
      <c r="H208" s="4" t="s">
        <v>256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Issues_ClassF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50</v>
      </c>
      <c r="H209" s="4" t="s">
        <v>257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Issues_ClassG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51</v>
      </c>
      <c r="H210" s="4" t="s">
        <v>258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Issues_ClassH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198</v>
      </c>
      <c r="H211" s="4" t="s">
        <v>259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</row>
    <row r="212" spans="1:96" x14ac:dyDescent="0.2">
      <c r="A212" s="4" t="str">
        <f>Column!$C212&amp;"_"&amp;Column!$G212</f>
        <v>Issues_ClassI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686</v>
      </c>
      <c r="H212" s="4" t="s">
        <v>678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Issues_ClassJ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687</v>
      </c>
      <c r="H213" s="4" t="s">
        <v>679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Issues_ClassK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688</v>
      </c>
      <c r="H214" s="4" t="s">
        <v>680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4"/>
      <c r="CK214" s="4"/>
      <c r="CL214" s="5"/>
      <c r="CM214" s="5"/>
      <c r="CN214" s="5"/>
      <c r="CO214" s="5"/>
      <c r="CP214" s="5"/>
      <c r="CQ214" s="5"/>
      <c r="CR214" s="4"/>
    </row>
    <row r="215" spans="1:96" x14ac:dyDescent="0.2">
      <c r="A215" s="4" t="str">
        <f>Column!$C215&amp;"_"&amp;Column!$G215</f>
        <v>Issues_ClassL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689</v>
      </c>
      <c r="H215" s="4" t="s">
        <v>681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Issues_ClassM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690</v>
      </c>
      <c r="H216" s="4" t="s">
        <v>682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Issues_ClassN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691</v>
      </c>
      <c r="H217" s="4" t="s">
        <v>683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Issues_ClassO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692</v>
      </c>
      <c r="H218" s="4" t="s">
        <v>684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Issues_ClassP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693</v>
      </c>
      <c r="H219" s="4" t="s">
        <v>685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Issues_ClassQ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871</v>
      </c>
      <c r="H220" s="4" t="s">
        <v>921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Issues_ClassR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872</v>
      </c>
      <c r="H221" s="4" t="s">
        <v>922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Issues_ClassS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873</v>
      </c>
      <c r="H222" s="4" t="s">
        <v>923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Issues_ClassT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874</v>
      </c>
      <c r="H223" s="4" t="s">
        <v>924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Issues_ClassU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875</v>
      </c>
      <c r="H224" s="4" t="s">
        <v>925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Issues_ClassV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876</v>
      </c>
      <c r="H225" s="4" t="s">
        <v>926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Issues_ClassW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877</v>
      </c>
      <c r="H226" s="4" t="s">
        <v>927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Issues_ClassX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878</v>
      </c>
      <c r="H227" s="4" t="s">
        <v>928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Issues_ClassY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879</v>
      </c>
      <c r="H228" s="4" t="s">
        <v>929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4" t="str">
        <f>Column!$C229&amp;"_"&amp;Column!$G229</f>
        <v>Issues_ClassZ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880</v>
      </c>
      <c r="H229" s="4" t="s">
        <v>930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392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Issues_NumA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546</v>
      </c>
      <c r="H230" s="4" t="s">
        <v>554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Issues_NumB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547</v>
      </c>
      <c r="H231" s="4" t="s">
        <v>555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Issues_NumC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548</v>
      </c>
      <c r="H232" s="4" t="s">
        <v>556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Issues_NumD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549</v>
      </c>
      <c r="H233" s="4" t="s">
        <v>557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Issues_NumE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550</v>
      </c>
      <c r="H234" s="4" t="s">
        <v>558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Issues_NumF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551</v>
      </c>
      <c r="H235" s="4" t="s">
        <v>559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Issues_NumG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552</v>
      </c>
      <c r="H236" s="4" t="s">
        <v>560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Issues_NumH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553</v>
      </c>
      <c r="H237" s="4" t="s">
        <v>561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Issues_NumI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836</v>
      </c>
      <c r="H238" s="4" t="s">
        <v>844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Issues_NumJ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837</v>
      </c>
      <c r="H239" s="4" t="s">
        <v>845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Issues_NumK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838</v>
      </c>
      <c r="H240" s="4" t="s">
        <v>846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Issues_NumL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839</v>
      </c>
      <c r="H241" s="4" t="s">
        <v>847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Issues_NumM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840</v>
      </c>
      <c r="H242" s="4" t="s">
        <v>848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Issues_NumN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841</v>
      </c>
      <c r="H243" s="4" t="s">
        <v>849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Issues_NumO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842</v>
      </c>
      <c r="H244" s="4" t="s">
        <v>850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Issues_NumP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843</v>
      </c>
      <c r="H245" s="4" t="s">
        <v>851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Issues_NumQ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881</v>
      </c>
      <c r="H246" s="4" t="s">
        <v>931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Issues_NumR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882</v>
      </c>
      <c r="H247" s="4" t="s">
        <v>932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Issues_NumS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883</v>
      </c>
      <c r="H248" s="4" t="s">
        <v>933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Issues_NumT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884</v>
      </c>
      <c r="H249" s="4" t="s">
        <v>934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Issues_NumU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885</v>
      </c>
      <c r="H250" s="4" t="s">
        <v>935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Issues_NumV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886</v>
      </c>
      <c r="H251" s="4" t="s">
        <v>936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Issues_NumW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887</v>
      </c>
      <c r="H252" s="4" t="s">
        <v>937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Issues_NumX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888</v>
      </c>
      <c r="H253" s="4" t="s">
        <v>938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Issues_NumY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889</v>
      </c>
      <c r="H254" s="4" t="s">
        <v>939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Issues_NumZ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890</v>
      </c>
      <c r="H255" s="4" t="s">
        <v>940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509</v>
      </c>
      <c r="Y255" s="4"/>
      <c r="Z255" s="4"/>
      <c r="AA255" s="4"/>
      <c r="AB255" s="4" t="s">
        <v>868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976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 t="s">
        <v>971</v>
      </c>
      <c r="CK255" s="4"/>
      <c r="CL255" s="4"/>
      <c r="CM255" s="4"/>
      <c r="CN255" s="4"/>
      <c r="CO255" s="4"/>
      <c r="CP255" s="4"/>
      <c r="CQ255" s="4"/>
      <c r="CR255" s="4"/>
    </row>
    <row r="256" spans="1:96" x14ac:dyDescent="0.2">
      <c r="A256" s="8" t="str">
        <f>Column!$C256&amp;"_"&amp;Column!$G256</f>
        <v>Issues_DateA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562</v>
      </c>
      <c r="H256" s="4" t="s">
        <v>570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Issues_DateB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563</v>
      </c>
      <c r="H257" s="4" t="s">
        <v>571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Issues_DateC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564</v>
      </c>
      <c r="H258" s="4" t="s">
        <v>572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Issues_DateD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565</v>
      </c>
      <c r="H259" s="4" t="s">
        <v>573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Issues_DateE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566</v>
      </c>
      <c r="H260" s="4" t="s">
        <v>574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Issues_DateF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567</v>
      </c>
      <c r="H261" s="4" t="s">
        <v>575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Issues_DateG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568</v>
      </c>
      <c r="H262" s="4" t="s">
        <v>576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Issues_DateH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569</v>
      </c>
      <c r="H263" s="4" t="s">
        <v>577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4" t="s">
        <v>518</v>
      </c>
      <c r="CB263" s="4" t="s">
        <v>517</v>
      </c>
      <c r="CC263" s="4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Issues_DateI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820</v>
      </c>
      <c r="H264" s="4" t="s">
        <v>825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Issues_DateJ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821</v>
      </c>
      <c r="H265" s="4" t="s">
        <v>826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Issues_DateK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822</v>
      </c>
      <c r="H266" s="4" t="s">
        <v>827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Issues_DateL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823</v>
      </c>
      <c r="H267" s="4" t="s">
        <v>830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Issues_DateM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824</v>
      </c>
      <c r="H268" s="4" t="s">
        <v>828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Issues_DateN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833</v>
      </c>
      <c r="H269" s="4" t="s">
        <v>829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Issues_DateO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834</v>
      </c>
      <c r="H270" s="4" t="s">
        <v>831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Issues_DateP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835</v>
      </c>
      <c r="H271" s="4" t="s">
        <v>832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Issues_DateQ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891</v>
      </c>
      <c r="H272" s="4" t="s">
        <v>941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Issues_DateR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892</v>
      </c>
      <c r="H273" s="4" t="s">
        <v>942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Issues_DateS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893</v>
      </c>
      <c r="H274" s="4" t="s">
        <v>943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Issues_DateT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894</v>
      </c>
      <c r="H275" s="4" t="s">
        <v>944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Issues_DateU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895</v>
      </c>
      <c r="H276" s="4" t="s">
        <v>945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Issues_DateV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896</v>
      </c>
      <c r="H277" s="4" t="s">
        <v>946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Issues_DateW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897</v>
      </c>
      <c r="H278" s="4" t="s">
        <v>947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Issues_DateX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898</v>
      </c>
      <c r="H279" s="4" t="s">
        <v>948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Issues_DateY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899</v>
      </c>
      <c r="H280" s="4" t="s">
        <v>949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Issues_DateZ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900</v>
      </c>
      <c r="H281" s="4" t="s">
        <v>950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 t="s">
        <v>216</v>
      </c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518</v>
      </c>
      <c r="CB281" s="9" t="s">
        <v>517</v>
      </c>
      <c r="CC281" s="9" t="s">
        <v>517</v>
      </c>
      <c r="CD281" s="9"/>
      <c r="CE281" s="9"/>
      <c r="CF281" s="4"/>
      <c r="CG281" s="4"/>
      <c r="CH281" s="4"/>
      <c r="CI281" s="4"/>
      <c r="CJ281" s="4" t="s">
        <v>579</v>
      </c>
      <c r="CK281" s="4"/>
      <c r="CL281" s="4">
        <v>-365</v>
      </c>
      <c r="CM281" s="4">
        <v>365</v>
      </c>
      <c r="CN281" s="4">
        <v>1</v>
      </c>
      <c r="CO281" s="4"/>
      <c r="CP281" s="4"/>
      <c r="CQ281" s="4">
        <v>50</v>
      </c>
      <c r="CR281" s="4"/>
    </row>
    <row r="282" spans="1:96" x14ac:dyDescent="0.2">
      <c r="A282" s="8" t="str">
        <f>Column!$C282&amp;"_"&amp;Column!$G282</f>
        <v>Issues_DescriptionA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731</v>
      </c>
      <c r="H282" s="4" t="s">
        <v>739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Issues_DescriptionB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732</v>
      </c>
      <c r="H283" s="4" t="s">
        <v>740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Issues_DescriptionC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733</v>
      </c>
      <c r="H284" s="4" t="s">
        <v>741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Issues_DescriptionD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734</v>
      </c>
      <c r="H285" s="4" t="s">
        <v>742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Issues_DescriptionE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735</v>
      </c>
      <c r="H286" s="4" t="s">
        <v>743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Issues_DescriptionF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736</v>
      </c>
      <c r="H287" s="4" t="s">
        <v>744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Issues_DescriptionG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737</v>
      </c>
      <c r="H288" s="4" t="s">
        <v>745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Issues_DescriptionH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738</v>
      </c>
      <c r="H289" s="4" t="s">
        <v>746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Issues_DescriptionI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804</v>
      </c>
      <c r="H290" s="4" t="s">
        <v>812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Issues_DescriptionJ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805</v>
      </c>
      <c r="H291" s="4" t="s">
        <v>813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Issues_DescriptionK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806</v>
      </c>
      <c r="H292" s="4" t="s">
        <v>814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Issues_DescriptionL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807</v>
      </c>
      <c r="H293" s="4" t="s">
        <v>815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Issues_DescriptionM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808</v>
      </c>
      <c r="H294" s="4" t="s">
        <v>816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Issues_DescriptionN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809</v>
      </c>
      <c r="H295" s="4" t="s">
        <v>817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Issues_DescriptionO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810</v>
      </c>
      <c r="H296" s="4" t="s">
        <v>818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Issues_DescriptionP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811</v>
      </c>
      <c r="H297" s="4" t="s">
        <v>819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Issues_DescriptionQ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901</v>
      </c>
      <c r="H298" s="4" t="s">
        <v>951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Issues_DescriptionR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902</v>
      </c>
      <c r="H299" s="4" t="s">
        <v>952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Issues_DescriptionS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903</v>
      </c>
      <c r="H300" s="4" t="s">
        <v>953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Issues_DescriptionT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904</v>
      </c>
      <c r="H301" s="4" t="s">
        <v>954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Issues_DescriptionU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905</v>
      </c>
      <c r="H302" s="4" t="s">
        <v>955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Issues_DescriptionV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906</v>
      </c>
      <c r="H303" s="4" t="s">
        <v>956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Issues_DescriptionW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907</v>
      </c>
      <c r="H304" s="4" t="s">
        <v>957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Issues_DescriptionX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908</v>
      </c>
      <c r="H305" s="4" t="s">
        <v>958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Issues_DescriptionY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909</v>
      </c>
      <c r="H306" s="4" t="s">
        <v>959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Issues_DescriptionZ</v>
      </c>
      <c r="B307" s="4" t="s">
        <v>38</v>
      </c>
      <c r="C307" s="4" t="s">
        <v>142</v>
      </c>
      <c r="D307" s="4"/>
      <c r="E307" s="4"/>
      <c r="F307" s="4" t="s">
        <v>728</v>
      </c>
      <c r="G307" s="4" t="s">
        <v>910</v>
      </c>
      <c r="H307" s="4" t="s">
        <v>960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243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Issues_CheckA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748</v>
      </c>
      <c r="H308" s="12" t="s">
        <v>756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Issues_CheckB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749</v>
      </c>
      <c r="H309" s="12" t="s">
        <v>757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Issues_CheckC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750</v>
      </c>
      <c r="H310" s="12" t="s">
        <v>758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Issues_CheckD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751</v>
      </c>
      <c r="H311" s="12" t="s">
        <v>759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Issues_CheckE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752</v>
      </c>
      <c r="H312" s="12" t="s">
        <v>760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Issues_CheckF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753</v>
      </c>
      <c r="H313" s="12" t="s">
        <v>761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Issues_CheckG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754</v>
      </c>
      <c r="H314" s="12" t="s">
        <v>762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Issues_CheckH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755</v>
      </c>
      <c r="H315" s="12" t="s">
        <v>763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764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Issues_CheckI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788</v>
      </c>
      <c r="H316" s="12" t="s">
        <v>796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Issues_CheckJ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789</v>
      </c>
      <c r="H317" s="12" t="s">
        <v>797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Issues_CheckK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790</v>
      </c>
      <c r="H318" s="12" t="s">
        <v>798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Issues_CheckL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791</v>
      </c>
      <c r="H319" s="12" t="s">
        <v>799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Issues_CheckM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792</v>
      </c>
      <c r="H320" s="12" t="s">
        <v>800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Issues_CheckN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793</v>
      </c>
      <c r="H321" s="12" t="s">
        <v>801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Issues_CheckO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794</v>
      </c>
      <c r="H322" s="12" t="s">
        <v>802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Issues_CheckP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795</v>
      </c>
      <c r="H323" s="12" t="s">
        <v>803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Issues_CheckQ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911</v>
      </c>
      <c r="H324" s="12" t="s">
        <v>961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Issues_CheckR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912</v>
      </c>
      <c r="H325" s="12" t="s">
        <v>962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Issues_CheckS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913</v>
      </c>
      <c r="H326" s="12" t="s">
        <v>963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Issues_CheckT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914</v>
      </c>
      <c r="H327" s="12" t="s">
        <v>964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Issues_CheckU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915</v>
      </c>
      <c r="H328" s="12" t="s">
        <v>965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Issues_CheckV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916</v>
      </c>
      <c r="H329" s="12" t="s">
        <v>966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Issues_CheckW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917</v>
      </c>
      <c r="H330" s="12" t="s">
        <v>967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Issues_CheckX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918</v>
      </c>
      <c r="H331" s="12" t="s">
        <v>968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Issues_CheckY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919</v>
      </c>
      <c r="H332" s="12" t="s">
        <v>969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Issues_CheckZ</v>
      </c>
      <c r="B333" s="4" t="s">
        <v>38</v>
      </c>
      <c r="C333" s="4" t="s">
        <v>142</v>
      </c>
      <c r="D333" s="4"/>
      <c r="E333" s="4"/>
      <c r="F333" s="4" t="s">
        <v>728</v>
      </c>
      <c r="G333" s="12" t="s">
        <v>920</v>
      </c>
      <c r="H333" s="12" t="s">
        <v>970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</row>
    <row r="334" spans="1:96" x14ac:dyDescent="0.2">
      <c r="A334" s="8" t="str">
        <f>Column!$C334&amp;"_"&amp;Column!$G334</f>
        <v>Results_ResultId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625</v>
      </c>
      <c r="H334" s="4" t="s">
        <v>856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>
        <v>1</v>
      </c>
      <c r="BP334" s="4"/>
      <c r="BQ334" s="4" t="s">
        <v>973</v>
      </c>
      <c r="BR334" s="4"/>
      <c r="BS334" s="4"/>
      <c r="BT334" s="4"/>
      <c r="BU334" s="4"/>
      <c r="BV334" s="4"/>
      <c r="BW334" s="4"/>
      <c r="BX334" s="4"/>
      <c r="BY334" s="4"/>
      <c r="BZ334" s="4" t="s">
        <v>122</v>
      </c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Results_Title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72</v>
      </c>
      <c r="H335" s="4" t="s">
        <v>290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239</v>
      </c>
      <c r="Z335" s="4" t="s">
        <v>237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386</v>
      </c>
      <c r="BH335" s="4" t="s">
        <v>596</v>
      </c>
      <c r="BI335" s="4"/>
      <c r="BJ335" s="4"/>
      <c r="BK335" s="4"/>
      <c r="BL335" s="4"/>
      <c r="BM335" s="4"/>
      <c r="BN335" s="4">
        <v>1</v>
      </c>
      <c r="BO335" s="4"/>
      <c r="BP335" s="4" t="s">
        <v>243</v>
      </c>
      <c r="BQ335" s="4" t="s">
        <v>228</v>
      </c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 t="s">
        <v>192</v>
      </c>
      <c r="CK335" s="4"/>
      <c r="CL335" s="4"/>
      <c r="CM335" s="4"/>
      <c r="CN335" s="4"/>
      <c r="CO335" s="4"/>
      <c r="CP335" s="4"/>
      <c r="CQ335" s="4"/>
      <c r="CR335" s="4">
        <v>1</v>
      </c>
    </row>
    <row r="336" spans="1:96" x14ac:dyDescent="0.2">
      <c r="A336" s="8" t="str">
        <f>Column!$C336&amp;"_"&amp;Column!$G336</f>
        <v>Results_Status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52</v>
      </c>
      <c r="H336" s="4" t="s">
        <v>260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236</v>
      </c>
      <c r="Z336" s="4" t="s">
        <v>237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730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 t="s">
        <v>217</v>
      </c>
      <c r="BR336" s="4"/>
      <c r="BS336" s="4"/>
      <c r="BT336" s="4"/>
      <c r="BU336" s="4"/>
      <c r="BV336" s="4"/>
      <c r="BW336" s="4"/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5" t="s">
        <v>626</v>
      </c>
      <c r="CG336" s="5"/>
      <c r="CH336" s="5"/>
      <c r="CI336" s="5"/>
      <c r="CJ336" s="4"/>
      <c r="CK336" s="4"/>
      <c r="CL336" s="5"/>
      <c r="CM336" s="5"/>
      <c r="CN336" s="5"/>
      <c r="CO336" s="5"/>
      <c r="CP336" s="5"/>
      <c r="CQ336" s="5"/>
      <c r="CR336" s="4">
        <v>1</v>
      </c>
    </row>
    <row r="337" spans="1:96" x14ac:dyDescent="0.2">
      <c r="A337" s="8" t="str">
        <f>Column!$C337&amp;"_"&amp;Column!$G337</f>
        <v>Results_Manager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615</v>
      </c>
      <c r="H337" s="4" t="s">
        <v>280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Results_Owner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616</v>
      </c>
      <c r="H338" s="4" t="s">
        <v>279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151</v>
      </c>
      <c r="Y338" s="4" t="s">
        <v>610</v>
      </c>
      <c r="Z338" s="4" t="s">
        <v>617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611</v>
      </c>
      <c r="BH338" s="4" t="s">
        <v>612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>
        <v>1</v>
      </c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 t="s">
        <v>543</v>
      </c>
      <c r="CG338" s="4"/>
      <c r="CH338" s="4">
        <v>1</v>
      </c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Results_ClassA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45</v>
      </c>
      <c r="H339" s="4" t="s">
        <v>252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Results_ClassB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46</v>
      </c>
      <c r="H340" s="4" t="s">
        <v>253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Results_ClassC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47</v>
      </c>
      <c r="H341" s="4" t="s">
        <v>254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>
        <v>1</v>
      </c>
    </row>
    <row r="342" spans="1:96" x14ac:dyDescent="0.2">
      <c r="A342" s="8" t="str">
        <f>Column!$C342&amp;"_"&amp;Column!$G342</f>
        <v>Results_ClassD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48</v>
      </c>
      <c r="H342" s="4" t="s">
        <v>255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Results_ClassE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49</v>
      </c>
      <c r="H343" s="4" t="s">
        <v>256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Results_ClassF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50</v>
      </c>
      <c r="H344" s="4" t="s">
        <v>257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Results_ClassG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51</v>
      </c>
      <c r="H345" s="4" t="s">
        <v>258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Results_ClassH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198</v>
      </c>
      <c r="H346" s="4" t="s">
        <v>259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</row>
    <row r="347" spans="1:96" x14ac:dyDescent="0.2">
      <c r="A347" s="8" t="str">
        <f>Column!$C347&amp;"_"&amp;Column!$G347</f>
        <v>Results_ClassI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686</v>
      </c>
      <c r="H347" s="4" t="s">
        <v>678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Results_ClassJ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687</v>
      </c>
      <c r="H348" s="4" t="s">
        <v>679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Results_ClassK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688</v>
      </c>
      <c r="H349" s="4" t="s">
        <v>680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5"/>
      <c r="CG349" s="5"/>
      <c r="CH349" s="5"/>
      <c r="CI349" s="5"/>
      <c r="CJ349" s="4"/>
      <c r="CK349" s="4"/>
      <c r="CL349" s="5"/>
      <c r="CM349" s="5"/>
      <c r="CN349" s="5"/>
      <c r="CO349" s="5"/>
      <c r="CP349" s="5"/>
      <c r="CQ349" s="5"/>
      <c r="CR349" s="4"/>
    </row>
    <row r="350" spans="1:96" x14ac:dyDescent="0.2">
      <c r="A350" s="8" t="str">
        <f>Column!$C350&amp;"_"&amp;Column!$G350</f>
        <v>Results_ClassL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689</v>
      </c>
      <c r="H350" s="4" t="s">
        <v>681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Results_ClassM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690</v>
      </c>
      <c r="H351" s="4" t="s">
        <v>682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Results_ClassN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691</v>
      </c>
      <c r="H352" s="4" t="s">
        <v>683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Results_ClassO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692</v>
      </c>
      <c r="H353" s="4" t="s">
        <v>684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Results_ClassP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693</v>
      </c>
      <c r="H354" s="4" t="s">
        <v>685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Results_ClassQ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871</v>
      </c>
      <c r="H355" s="4" t="s">
        <v>921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Results_ClassR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872</v>
      </c>
      <c r="H356" s="4" t="s">
        <v>922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Results_ClassS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873</v>
      </c>
      <c r="H357" s="4" t="s">
        <v>923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Results_ClassT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874</v>
      </c>
      <c r="H358" s="4" t="s">
        <v>924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Results_ClassU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875</v>
      </c>
      <c r="H359" s="4" t="s">
        <v>925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Results_ClassV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876</v>
      </c>
      <c r="H360" s="4" t="s">
        <v>926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Results_ClassW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877</v>
      </c>
      <c r="H361" s="4" t="s">
        <v>927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Results_ClassX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878</v>
      </c>
      <c r="H362" s="4" t="s">
        <v>928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Results_ClassY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879</v>
      </c>
      <c r="H363" s="4" t="s">
        <v>929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Results_ClassZ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880</v>
      </c>
      <c r="H364" s="4" t="s">
        <v>930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392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Results_NumA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546</v>
      </c>
      <c r="H365" s="4" t="s">
        <v>554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Results_NumB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547</v>
      </c>
      <c r="H366" s="4" t="s">
        <v>555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Results_NumC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548</v>
      </c>
      <c r="H367" s="4" t="s">
        <v>556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Results_NumD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549</v>
      </c>
      <c r="H368" s="4" t="s">
        <v>557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Results_NumE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550</v>
      </c>
      <c r="H369" s="4" t="s">
        <v>558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Results_NumF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551</v>
      </c>
      <c r="H370" s="4" t="s">
        <v>559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Results_NumG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552</v>
      </c>
      <c r="H371" s="4" t="s">
        <v>560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Results_NumH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553</v>
      </c>
      <c r="H372" s="4" t="s">
        <v>561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Results_NumI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836</v>
      </c>
      <c r="H373" s="4" t="s">
        <v>844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Results_NumJ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837</v>
      </c>
      <c r="H374" s="4" t="s">
        <v>845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Results_NumK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838</v>
      </c>
      <c r="H375" s="4" t="s">
        <v>846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Results_NumL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839</v>
      </c>
      <c r="H376" s="4" t="s">
        <v>847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Results_NumM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840</v>
      </c>
      <c r="H377" s="4" t="s">
        <v>848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Results_NumN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841</v>
      </c>
      <c r="H378" s="4" t="s">
        <v>849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Results_NumO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842</v>
      </c>
      <c r="H379" s="4" t="s">
        <v>850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Results_NumP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843</v>
      </c>
      <c r="H380" s="4" t="s">
        <v>851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Results_NumQ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881</v>
      </c>
      <c r="H381" s="4" t="s">
        <v>931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Results_NumR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882</v>
      </c>
      <c r="H382" s="4" t="s">
        <v>932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Results_NumS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883</v>
      </c>
      <c r="H383" s="4" t="s">
        <v>933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Results_NumT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884</v>
      </c>
      <c r="H384" s="4" t="s">
        <v>934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Results_NumU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885</v>
      </c>
      <c r="H385" s="4" t="s">
        <v>935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Results_NumV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886</v>
      </c>
      <c r="H386" s="4" t="s">
        <v>936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Results_NumW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887</v>
      </c>
      <c r="H387" s="4" t="s">
        <v>937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Results_NumX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888</v>
      </c>
      <c r="H388" s="4" t="s">
        <v>938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Results_NumY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889</v>
      </c>
      <c r="H389" s="4" t="s">
        <v>939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Results_NumZ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890</v>
      </c>
      <c r="H390" s="4" t="s">
        <v>940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509</v>
      </c>
      <c r="Y390" s="4"/>
      <c r="Z390" s="4"/>
      <c r="AA390" s="4"/>
      <c r="AB390" s="4" t="s">
        <v>868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976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 t="s">
        <v>971</v>
      </c>
      <c r="CK390" s="4"/>
      <c r="CL390" s="4"/>
      <c r="CM390" s="4"/>
      <c r="CN390" s="4"/>
      <c r="CO390" s="4"/>
      <c r="CP390" s="4"/>
      <c r="CQ390" s="4"/>
      <c r="CR390" s="4"/>
    </row>
    <row r="391" spans="1:96" x14ac:dyDescent="0.2">
      <c r="A391" s="8" t="str">
        <f>Column!$C391&amp;"_"&amp;Column!$G391</f>
        <v>Results_DateA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562</v>
      </c>
      <c r="H391" s="4" t="s">
        <v>570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Results_DateB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563</v>
      </c>
      <c r="H392" s="4" t="s">
        <v>571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Results_DateC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564</v>
      </c>
      <c r="H393" s="4" t="s">
        <v>572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Results_DateD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565</v>
      </c>
      <c r="H394" s="4" t="s">
        <v>573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Results_DateE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566</v>
      </c>
      <c r="H395" s="4" t="s">
        <v>574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Results_DateF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567</v>
      </c>
      <c r="H396" s="4" t="s">
        <v>575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Results_DateG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568</v>
      </c>
      <c r="H397" s="4" t="s">
        <v>576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8" t="str">
        <f>Column!$C398&amp;"_"&amp;Column!$G398</f>
        <v>Results_DateH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569</v>
      </c>
      <c r="H398" s="4" t="s">
        <v>577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Results_DateI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820</v>
      </c>
      <c r="H399" s="4" t="s">
        <v>825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Results_DateJ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821</v>
      </c>
      <c r="H400" s="4" t="s">
        <v>826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Results_DateK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822</v>
      </c>
      <c r="H401" s="4" t="s">
        <v>827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Results_DateL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823</v>
      </c>
      <c r="H402" s="4" t="s">
        <v>830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Results_DateM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824</v>
      </c>
      <c r="H403" s="4" t="s">
        <v>828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Results_DateN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833</v>
      </c>
      <c r="H404" s="4" t="s">
        <v>829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Results_DateO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834</v>
      </c>
      <c r="H405" s="4" t="s">
        <v>831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Results_DateP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835</v>
      </c>
      <c r="H406" s="4" t="s">
        <v>832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Results_DateQ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891</v>
      </c>
      <c r="H407" s="4" t="s">
        <v>941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Results_DateR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892</v>
      </c>
      <c r="H408" s="4" t="s">
        <v>942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Results_DateS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893</v>
      </c>
      <c r="H409" s="4" t="s">
        <v>943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Results_DateT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894</v>
      </c>
      <c r="H410" s="4" t="s">
        <v>944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Results_DateU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895</v>
      </c>
      <c r="H411" s="4" t="s">
        <v>945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Results_DateV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896</v>
      </c>
      <c r="H412" s="4" t="s">
        <v>946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Results_DateW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897</v>
      </c>
      <c r="H413" s="4" t="s">
        <v>947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Results_DateX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898</v>
      </c>
      <c r="H414" s="4" t="s">
        <v>948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Results_DateY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899</v>
      </c>
      <c r="H415" s="4" t="s">
        <v>949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Results_DateZ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900</v>
      </c>
      <c r="H416" s="4" t="s">
        <v>950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 t="s">
        <v>216</v>
      </c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518</v>
      </c>
      <c r="CB416" s="9" t="s">
        <v>517</v>
      </c>
      <c r="CC416" s="9" t="s">
        <v>517</v>
      </c>
      <c r="CD416" s="9"/>
      <c r="CE416" s="9"/>
      <c r="CF416" s="4"/>
      <c r="CG416" s="4"/>
      <c r="CH416" s="4"/>
      <c r="CI416" s="4"/>
      <c r="CJ416" s="4" t="s">
        <v>579</v>
      </c>
      <c r="CK416" s="4"/>
      <c r="CL416" s="4">
        <v>-365</v>
      </c>
      <c r="CM416" s="4">
        <v>365</v>
      </c>
      <c r="CN416" s="4">
        <v>1</v>
      </c>
      <c r="CO416" s="4"/>
      <c r="CP416" s="4"/>
      <c r="CQ416" s="4">
        <v>50</v>
      </c>
      <c r="CR416" s="4"/>
    </row>
    <row r="417" spans="1:96" x14ac:dyDescent="0.2">
      <c r="A417" s="11" t="str">
        <f>Column!$C417&amp;"_"&amp;Column!$G417</f>
        <v>Results_DescriptionA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731</v>
      </c>
      <c r="H417" s="4" t="s">
        <v>739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Results_DescriptionB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732</v>
      </c>
      <c r="H418" s="4" t="s">
        <v>740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Results_DescriptionC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733</v>
      </c>
      <c r="H419" s="4" t="s">
        <v>741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Results_DescriptionD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734</v>
      </c>
      <c r="H420" s="4" t="s">
        <v>742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Results_DescriptionE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735</v>
      </c>
      <c r="H421" s="4" t="s">
        <v>743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Results_DescriptionF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736</v>
      </c>
      <c r="H422" s="4" t="s">
        <v>744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Results_DescriptionG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737</v>
      </c>
      <c r="H423" s="4" t="s">
        <v>745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Results_DescriptionH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738</v>
      </c>
      <c r="H424" s="4" t="s">
        <v>746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Results_DescriptionI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804</v>
      </c>
      <c r="H425" s="4" t="s">
        <v>812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Results_DescriptionJ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805</v>
      </c>
      <c r="H426" s="4" t="s">
        <v>813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Results_DescriptionK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806</v>
      </c>
      <c r="H427" s="4" t="s">
        <v>814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Results_DescriptionL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807</v>
      </c>
      <c r="H428" s="4" t="s">
        <v>815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Results_DescriptionM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808</v>
      </c>
      <c r="H429" s="4" t="s">
        <v>816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Results_DescriptionN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809</v>
      </c>
      <c r="H430" s="4" t="s">
        <v>817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Results_DescriptionO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810</v>
      </c>
      <c r="H431" s="4" t="s">
        <v>818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Results_DescriptionP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811</v>
      </c>
      <c r="H432" s="4" t="s">
        <v>819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Results_DescriptionQ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901</v>
      </c>
      <c r="H433" s="4" t="s">
        <v>951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Results_DescriptionR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902</v>
      </c>
      <c r="H434" s="4" t="s">
        <v>952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Results_DescriptionS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903</v>
      </c>
      <c r="H435" s="4" t="s">
        <v>953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Results_DescriptionT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904</v>
      </c>
      <c r="H436" s="4" t="s">
        <v>954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Results_DescriptionU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905</v>
      </c>
      <c r="H437" s="4" t="s">
        <v>955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Results_DescriptionV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906</v>
      </c>
      <c r="H438" s="4" t="s">
        <v>956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Results_DescriptionW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907</v>
      </c>
      <c r="H439" s="4" t="s">
        <v>957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Results_DescriptionX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908</v>
      </c>
      <c r="H440" s="4" t="s">
        <v>958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Results_DescriptionY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909</v>
      </c>
      <c r="H441" s="4" t="s">
        <v>959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Results_DescriptionZ</v>
      </c>
      <c r="B442" s="4" t="s">
        <v>624</v>
      </c>
      <c r="C442" s="4" t="s">
        <v>623</v>
      </c>
      <c r="D442" s="4"/>
      <c r="E442" s="4"/>
      <c r="F442" s="4" t="s">
        <v>729</v>
      </c>
      <c r="G442" s="4" t="s">
        <v>910</v>
      </c>
      <c r="H442" s="4" t="s">
        <v>960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243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Results_CheckA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748</v>
      </c>
      <c r="H443" s="12" t="s">
        <v>756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Results_CheckB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749</v>
      </c>
      <c r="H444" s="12" t="s">
        <v>757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Results_CheckC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750</v>
      </c>
      <c r="H445" s="12" t="s">
        <v>758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Results_CheckD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751</v>
      </c>
      <c r="H446" s="12" t="s">
        <v>759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Results_CheckE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752</v>
      </c>
      <c r="H447" s="12" t="s">
        <v>760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Results_CheckF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753</v>
      </c>
      <c r="H448" s="12" t="s">
        <v>761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Results_CheckG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754</v>
      </c>
      <c r="H449" s="12" t="s">
        <v>762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Results_CheckH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755</v>
      </c>
      <c r="H450" s="12" t="s">
        <v>763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764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Results_CheckI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788</v>
      </c>
      <c r="H451" s="12" t="s">
        <v>796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Results_CheckJ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789</v>
      </c>
      <c r="H452" s="12" t="s">
        <v>797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Results_CheckK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790</v>
      </c>
      <c r="H453" s="12" t="s">
        <v>798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Results_CheckL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791</v>
      </c>
      <c r="H454" s="12" t="s">
        <v>799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Results_CheckM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792</v>
      </c>
      <c r="H455" s="12" t="s">
        <v>800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Results_CheckN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793</v>
      </c>
      <c r="H456" s="12" t="s">
        <v>801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Results_CheckO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794</v>
      </c>
      <c r="H457" s="12" t="s">
        <v>802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Results_CheckP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795</v>
      </c>
      <c r="H458" s="12" t="s">
        <v>803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Results_CheckQ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911</v>
      </c>
      <c r="H459" s="12" t="s">
        <v>961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Results_CheckR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912</v>
      </c>
      <c r="H460" s="12" t="s">
        <v>962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Results_CheckS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913</v>
      </c>
      <c r="H461" s="12" t="s">
        <v>963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Results_CheckT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914</v>
      </c>
      <c r="H462" s="12" t="s">
        <v>964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Results_CheckU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915</v>
      </c>
      <c r="H463" s="12" t="s">
        <v>965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Results_CheckV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916</v>
      </c>
      <c r="H464" s="12" t="s">
        <v>966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Results_CheckW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917</v>
      </c>
      <c r="H465" s="12" t="s">
        <v>967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Results_CheckX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918</v>
      </c>
      <c r="H466" s="12" t="s">
        <v>968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Results_CheckY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919</v>
      </c>
      <c r="H467" s="12" t="s">
        <v>969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Results_CheckZ</v>
      </c>
      <c r="B468" s="4" t="s">
        <v>624</v>
      </c>
      <c r="C468" s="4" t="s">
        <v>623</v>
      </c>
      <c r="D468" s="4"/>
      <c r="E468" s="4"/>
      <c r="F468" s="4" t="s">
        <v>729</v>
      </c>
      <c r="G468" s="12" t="s">
        <v>920</v>
      </c>
      <c r="H468" s="12" t="s">
        <v>970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</row>
    <row r="469" spans="1:96" x14ac:dyDescent="0.2">
      <c r="A469" s="11" t="str">
        <f>Column!$C469&amp;"_"&amp;Column!$G469</f>
        <v>Wikis_WikiId</v>
      </c>
      <c r="B469" s="12" t="s">
        <v>671</v>
      </c>
      <c r="C469" s="12" t="s">
        <v>672</v>
      </c>
      <c r="D469" s="12"/>
      <c r="E469" s="12"/>
      <c r="F469" s="12" t="s">
        <v>673</v>
      </c>
      <c r="G469" s="12" t="s">
        <v>674</v>
      </c>
      <c r="H469" s="12" t="s">
        <v>857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>
        <v>1</v>
      </c>
      <c r="BP469" s="4"/>
      <c r="BQ469" s="4" t="s">
        <v>973</v>
      </c>
      <c r="BR469" s="4"/>
      <c r="BS469" s="4"/>
      <c r="BT469" s="4"/>
      <c r="BU469" s="4"/>
      <c r="BV469" s="4"/>
      <c r="BW469" s="4"/>
      <c r="BX469" s="4"/>
      <c r="BY469" s="4"/>
      <c r="BZ469" s="4" t="s">
        <v>122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2016-10-13T08:39:02Z</dcterms:modified>
</cp:coreProperties>
</file>