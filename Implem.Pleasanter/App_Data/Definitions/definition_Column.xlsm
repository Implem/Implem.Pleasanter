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佐藤義之\Documents\Pleasanter\Implem.Pleasanter\App_Data\Definitions\"/>
    </mc:Choice>
  </mc:AlternateContent>
  <xr:revisionPtr revIDLastSave="0" documentId="13_ncr:1_{7CB8D2FD-697B-47CB-A2A6-4CD7D74CD438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Column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4" i="1" l="1"/>
  <c r="A113" i="1"/>
  <c r="A112" i="1"/>
  <c r="A111" i="1"/>
  <c r="A110" i="1"/>
  <c r="A109" i="1"/>
  <c r="A108" i="1"/>
  <c r="A107" i="1"/>
  <c r="A106" i="1"/>
  <c r="A105" i="1"/>
  <c r="A22" i="1" l="1"/>
  <c r="A219" i="1" l="1"/>
  <c r="A220" i="1"/>
  <c r="A40" i="1" l="1"/>
  <c r="A213" i="1" l="1"/>
  <c r="A212" i="1" l="1"/>
  <c r="A218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7" i="1" l="1"/>
  <c r="A146" i="1"/>
  <c r="A36" i="1" l="1"/>
  <c r="A39" i="1" l="1"/>
  <c r="A37" i="1" l="1"/>
  <c r="A35" i="1"/>
  <c r="A38" i="1"/>
  <c r="A159" i="1" l="1"/>
  <c r="A160" i="1" l="1"/>
  <c r="A132" i="1" l="1"/>
  <c r="A243" i="1" l="1"/>
  <c r="A256" i="1" l="1"/>
  <c r="A246" i="1" l="1"/>
  <c r="A244" i="1"/>
  <c r="A150" i="1" l="1"/>
  <c r="A84" i="1" l="1"/>
  <c r="A82" i="1"/>
  <c r="A83" i="1"/>
  <c r="A137" i="1" l="1"/>
  <c r="A200" i="1" l="1"/>
  <c r="A206" i="1" l="1"/>
  <c r="A273" i="1" l="1"/>
  <c r="A225" i="1" l="1"/>
  <c r="A211" i="1" l="1"/>
  <c r="A267" i="1" l="1"/>
  <c r="A149" i="1" l="1"/>
  <c r="A208" i="1" l="1"/>
  <c r="A207" i="1"/>
  <c r="A79" i="1" l="1"/>
  <c r="A164" i="1" l="1"/>
  <c r="A163" i="1" l="1"/>
  <c r="A118" i="1"/>
  <c r="A165" i="1"/>
  <c r="A161" i="1"/>
  <c r="A162" i="1"/>
  <c r="A145" i="1" l="1"/>
  <c r="A119" i="1" l="1"/>
  <c r="A80" i="1" l="1"/>
  <c r="A81" i="1"/>
  <c r="A176" i="1" l="1"/>
  <c r="A173" i="1"/>
  <c r="A100" i="1" l="1"/>
  <c r="A134" i="1" l="1"/>
  <c r="A95" i="1" l="1"/>
  <c r="A96" i="1" l="1"/>
  <c r="A97" i="1"/>
  <c r="A98" i="1"/>
  <c r="A99" i="1"/>
  <c r="A94" i="1"/>
  <c r="A92" i="1"/>
  <c r="A93" i="1"/>
  <c r="A224" i="1" l="1"/>
  <c r="A223" i="1" l="1"/>
  <c r="A156" i="1" l="1"/>
  <c r="A34" i="1" l="1"/>
  <c r="A33" i="1" l="1"/>
  <c r="A157" i="1" l="1"/>
  <c r="A139" i="1" l="1"/>
  <c r="A270" i="1" l="1"/>
  <c r="A247" i="1" l="1"/>
  <c r="A251" i="1"/>
  <c r="A252" i="1"/>
  <c r="A245" i="1" l="1"/>
  <c r="A257" i="1"/>
  <c r="A253" i="1"/>
  <c r="A254" i="1"/>
  <c r="A248" i="1"/>
  <c r="A249" i="1"/>
  <c r="A250" i="1"/>
  <c r="A255" i="1"/>
  <c r="A274" i="1" l="1"/>
  <c r="A240" i="1" l="1"/>
  <c r="A198" i="1"/>
  <c r="A204" i="1" l="1"/>
  <c r="A263" i="1" l="1"/>
  <c r="A228" i="1" l="1"/>
  <c r="A199" i="1" l="1"/>
  <c r="A197" i="1"/>
  <c r="A239" i="1" l="1"/>
  <c r="A205" i="1" l="1"/>
  <c r="A196" i="1" l="1"/>
  <c r="A194" i="1"/>
  <c r="A195" i="1"/>
  <c r="A269" i="1" l="1"/>
  <c r="A271" i="1"/>
  <c r="A272" i="1"/>
  <c r="A268" i="1"/>
  <c r="A120" i="1" l="1"/>
  <c r="A217" i="1" l="1"/>
  <c r="A242" i="1" l="1"/>
  <c r="A238" i="1" l="1"/>
  <c r="A241" i="1" l="1"/>
  <c r="A236" i="1"/>
  <c r="A237" i="1"/>
  <c r="A262" i="1" l="1"/>
  <c r="A261" i="1" l="1"/>
  <c r="A259" i="1"/>
  <c r="A222" i="1" l="1"/>
  <c r="A226" i="1" l="1"/>
  <c r="A227" i="1"/>
  <c r="A229" i="1"/>
  <c r="A181" i="1" l="1"/>
  <c r="A122" i="1" l="1"/>
  <c r="A123" i="1"/>
  <c r="A88" i="1" l="1"/>
  <c r="A154" i="1" l="1"/>
  <c r="A155" i="1"/>
  <c r="A151" i="1" l="1"/>
  <c r="A153" i="1"/>
  <c r="A152" i="1" l="1"/>
  <c r="A230" i="1" l="1"/>
  <c r="A209" i="1" l="1"/>
  <c r="A85" i="1"/>
  <c r="A115" i="1"/>
  <c r="A179" i="1" l="1"/>
  <c r="A48" i="1" l="1"/>
  <c r="A143" i="1" l="1"/>
  <c r="A260" i="1" l="1"/>
  <c r="A264" i="1"/>
  <c r="A76" i="1" l="1"/>
  <c r="A136" i="1"/>
  <c r="A170" i="1"/>
  <c r="A91" i="1"/>
  <c r="A234" i="1" l="1"/>
  <c r="A235" i="1" l="1"/>
  <c r="A233" i="1" l="1"/>
  <c r="A231" i="1"/>
  <c r="A232" i="1"/>
  <c r="A144" i="1" l="1"/>
  <c r="A131" i="1" l="1"/>
  <c r="A135" i="1" l="1"/>
  <c r="A192" i="1" l="1"/>
  <c r="A193" i="1"/>
  <c r="A180" i="1"/>
  <c r="A191" i="1" l="1"/>
  <c r="A203" i="1" l="1"/>
  <c r="A202" i="1" l="1"/>
  <c r="A201" i="1"/>
  <c r="A166" i="1" l="1"/>
  <c r="A167" i="1"/>
  <c r="A168" i="1"/>
  <c r="A169" i="1"/>
  <c r="A9" i="1" l="1"/>
  <c r="A50" i="1" l="1"/>
  <c r="A54" i="1"/>
  <c r="A87" i="1" l="1"/>
  <c r="A117" i="1" l="1"/>
  <c r="A266" i="1"/>
  <c r="A265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16" i="1"/>
  <c r="A121" i="1"/>
  <c r="A124" i="1"/>
  <c r="A133" i="1"/>
  <c r="A126" i="1"/>
  <c r="A125" i="1"/>
  <c r="A127" i="1"/>
  <c r="A128" i="1"/>
  <c r="A129" i="1"/>
  <c r="A130" i="1"/>
  <c r="A138" i="1"/>
  <c r="A140" i="1"/>
  <c r="A141" i="1"/>
  <c r="A142" i="1"/>
  <c r="A158" i="1"/>
  <c r="A148" i="1"/>
  <c r="A171" i="1"/>
  <c r="A172" i="1"/>
  <c r="A174" i="1"/>
  <c r="A175" i="1"/>
  <c r="A177" i="1"/>
  <c r="A178" i="1"/>
  <c r="A182" i="1"/>
  <c r="A183" i="1"/>
  <c r="A184" i="1"/>
  <c r="A185" i="1"/>
  <c r="A186" i="1"/>
  <c r="A187" i="1"/>
  <c r="A188" i="1"/>
  <c r="A189" i="1"/>
  <c r="A190" i="1"/>
  <c r="A210" i="1"/>
  <c r="A214" i="1"/>
  <c r="A215" i="1"/>
  <c r="A216" i="1"/>
  <c r="A221" i="1"/>
  <c r="A258" i="1"/>
</calcChain>
</file>

<file path=xl/sharedStrings.xml><?xml version="1.0" encoding="utf-8"?>
<sst xmlns="http://schemas.openxmlformats.org/spreadsheetml/2006/main" count="2353" uniqueCount="852">
  <si>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</si>
  <si>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</si>
  <si>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</si>
  <si>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</si>
  <si>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</si>
  <si>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</si>
  <si>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</si>
  <si>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</si>
  <si>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</si>
  <si>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</si>
  <si>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</si>
  <si>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</si>
  <si>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</si>
  <si>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</si>
  <si>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</si>
  <si>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</si>
  <si>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</si>
  <si>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</si>
  <si>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</si>
  <si>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</si>
  <si>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</si>
  <si>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</si>
  <si>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</si>
  <si>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</si>
  <si>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</si>
  <si>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</si>
  <si>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</si>
  <si>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</si>
  <si>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</si>
  <si>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</si>
  <si>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</si>
  <si>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</si>
  <si>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</si>
  <si>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</si>
  <si>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</si>
  <si>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</si>
  <si>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</si>
  <si>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</si>
  <si>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</si>
  <si>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</si>
  <si>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</si>
  <si>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</si>
  <si>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</si>
  <si>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</si>
  <si>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</si>
  <si>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</si>
  <si>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</si>
  <si>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</si>
  <si>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</si>
  <si>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</si>
  <si>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</si>
  <si>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</si>
  <si>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</si>
  <si>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</si>
  <si>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</si>
  <si>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</si>
  <si>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</si>
  <si>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</si>
  <si>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</si>
  <si>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</si>
  <si>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</si>
  <si>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</si>
  <si>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</si>
  <si>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</si>
  <si>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</si>
  <si>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</si>
  <si>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</si>
  <si>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</si>
  <si>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</si>
  <si>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</si>
  <si>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</si>
  <si>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</si>
  <si>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</si>
  <si>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</si>
  <si>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</si>
  <si>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</si>
  <si>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</si>
  <si>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</si>
  <si>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</si>
  <si>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</si>
  <si>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</si>
  <si>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</si>
  <si>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</si>
  <si>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</si>
  <si>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</si>
  <si>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</si>
  <si>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</si>
  <si>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</si>
  <si>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</si>
  <si>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</si>
  <si>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</si>
  <si>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</si>
  <si>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</si>
  <si>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</si>
  <si>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</si>
  <si>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</si>
  <si>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</si>
  <si>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</si>
  <si>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</si>
  <si>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</si>
  <si>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</si>
  <si>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</si>
  <si>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</si>
  <si>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</si>
  <si>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</si>
  <si>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</si>
  <si>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</si>
  <si>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</si>
  <si>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</si>
  <si>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</si>
  <si>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</si>
  <si>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</si>
  <si>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</si>
  <si>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</si>
  <si>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</si>
  <si>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</si>
  <si>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</si>
  <si>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</si>
  <si>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</si>
  <si>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</si>
  <si>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</si>
  <si>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</si>
  <si>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</si>
  <si>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</si>
  <si>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</si>
  <si>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</si>
  <si>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</si>
  <si>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</si>
  <si>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</si>
  <si>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</si>
  <si>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</si>
  <si>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</si>
  <si>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</si>
  <si>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</si>
  <si>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</si>
  <si>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</si>
  <si>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</si>
  <si>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</si>
  <si>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</si>
  <si>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</si>
  <si>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</si>
  <si>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</si>
  <si>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</si>
  <si>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</si>
  <si>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</si>
  <si>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</si>
  <si>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</si>
  <si>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</si>
  <si>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</si>
  <si>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</si>
  <si>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</si>
  <si>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</si>
  <si>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</si>
  <si>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</si>
  <si>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</si>
  <si>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</si>
  <si>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</si>
  <si>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</si>
  <si>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</si>
  <si>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</si>
  <si>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</si>
  <si>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</si>
  <si>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</si>
  <si>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</si>
  <si>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</si>
  <si>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</si>
  <si>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</si>
  <si>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</si>
  <si>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</si>
  <si>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</si>
  <si>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</si>
  <si>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</si>
  <si>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</si>
  <si>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</si>
  <si>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</si>
  <si>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</si>
  <si>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</si>
  <si>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</si>
  <si>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</si>
  <si>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</si>
  <si>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</si>
  <si>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</si>
  <si>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</si>
  <si>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</si>
  <si>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</si>
  <si>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</si>
  <si>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</si>
  <si>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</si>
  <si>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</si>
  <si>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</si>
  <si>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</si>
  <si>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</si>
  <si>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</si>
  <si>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</si>
  <si>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</si>
  <si>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</si>
  <si>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</si>
  <si>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</si>
  <si>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</si>
  <si>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</si>
  <si>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</si>
  <si>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</si>
  <si>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</si>
  <si>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</si>
  <si>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</si>
  <si>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</si>
  <si>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</si>
  <si>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</si>
  <si>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</si>
  <si>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</si>
  <si>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</si>
  <si>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</si>
  <si>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</si>
  <si>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</si>
  <si>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</si>
  <si>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</si>
  <si>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</si>
  <si>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</si>
  <si>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</si>
  <si>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</si>
  <si>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</si>
  <si>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</si>
  <si>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</si>
  <si>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</si>
  <si>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</si>
  <si>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</si>
  <si>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</si>
  <si>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</si>
  <si>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</si>
  <si>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</si>
  <si>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</si>
  <si>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</si>
  <si>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</si>
  <si>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</si>
  <si>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</si>
  <si>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</si>
  <si>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</si>
  <si>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</si>
  <si>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</si>
  <si>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</si>
  <si>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</si>
  <si>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</si>
  <si>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</si>
  <si>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</si>
  <si>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</si>
  <si>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</si>
  <si>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</si>
  <si>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</si>
  <si>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</si>
  <si>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</si>
  <si>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</si>
  <si>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</si>
  <si>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</si>
  <si>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</si>
  <si>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</si>
  <si>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</si>
  <si>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</si>
  <si>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</si>
  <si>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</si>
  <si>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</si>
  <si>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</si>
  <si>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</si>
  <si>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</si>
  <si>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</si>
  <si>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</si>
  <si>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</si>
  <si>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</si>
  <si>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</si>
  <si>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</si>
  <si>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</si>
  <si>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</si>
  <si>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</si>
  <si>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</si>
  <si>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</si>
  <si>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</si>
  <si>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</si>
  <si>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</si>
  <si>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</si>
  <si>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</si>
  <si>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</si>
  <si>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</si>
  <si>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</si>
  <si>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</si>
  <si>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</si>
  <si>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</si>
  <si>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</si>
  <si>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</si>
  <si>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</si>
  <si>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</si>
  <si>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</si>
  <si>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</si>
  <si>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</si>
  <si>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</si>
  <si>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</si>
  <si>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</si>
  <si>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</si>
  <si>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</si>
  <si>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</si>
  <si>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</si>
  <si>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</si>
  <si>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</si>
  <si>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</si>
  <si>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</si>
  <si>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</si>
  <si>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</si>
  <si>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</si>
  <si>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</si>
  <si>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</si>
  <si>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</si>
  <si>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</si>
  <si>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</si>
  <si>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</si>
  <si>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</si>
  <si>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</si>
  <si>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</si>
  <si>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</si>
  <si>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</si>
  <si>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</si>
  <si>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</si>
  <si>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</si>
  <si>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</si>
  <si>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</si>
  <si>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</si>
  <si>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</si>
  <si>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</si>
  <si>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</si>
  <si>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</si>
  <si>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</si>
  <si>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</si>
  <si>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</si>
  <si>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</si>
  <si>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</si>
  <si>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</si>
  <si>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</si>
  <si>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</si>
  <si>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</si>
  <si>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</si>
  <si>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</si>
  <si>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</si>
  <si>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</si>
  <si>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</si>
  <si>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</si>
  <si>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</si>
  <si>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</si>
  <si>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</si>
  <si>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</si>
  <si>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</si>
  <si>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</si>
  <si>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</si>
  <si>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</si>
  <si>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</si>
  <si>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</si>
  <si>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</si>
  <si>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</si>
  <si>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</si>
  <si>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</si>
  <si>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</si>
  <si>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</si>
  <si>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</si>
  <si>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</si>
  <si>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</si>
  <si>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</si>
  <si>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</si>
  <si>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</si>
  <si>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</si>
  <si>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</si>
  <si>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</si>
  <si>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</si>
  <si>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</si>
  <si>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</si>
  <si>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</si>
  <si>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</si>
  <si>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</si>
  <si>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</si>
  <si>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</si>
  <si>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</si>
  <si>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</si>
  <si>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</si>
  <si>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</si>
  <si>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</si>
  <si>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</si>
  <si>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</si>
  <si>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</si>
  <si>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</si>
  <si>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</si>
  <si>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</si>
  <si>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</si>
  <si>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</si>
  <si>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</si>
  <si>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</si>
  <si>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</si>
  <si>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</si>
  <si>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</si>
  <si>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</si>
  <si>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</si>
  <si>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</si>
  <si>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</si>
  <si>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</si>
  <si>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</si>
  <si>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</si>
  <si>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</si>
  <si>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</si>
  <si>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</si>
  <si>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</si>
  <si>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</si>
  <si>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</si>
  <si>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</si>
  <si>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</si>
  <si>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</si>
  <si>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</si>
  <si>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</si>
  <si>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</si>
  <si>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</si>
  <si>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</si>
  <si>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</si>
  <si>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</si>
  <si>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</si>
  <si>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</si>
  <si>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</si>
  <si>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</si>
  <si>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</si>
  <si>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</si>
  <si>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</si>
  <si>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</si>
  <si>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</si>
  <si>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</si>
  <si>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</si>
  <si>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</si>
  <si>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</si>
  <si>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</si>
  <si>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</si>
  <si>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</si>
  <si>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</si>
  <si>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</si>
  <si>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</si>
  <si>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</si>
  <si>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</si>
  <si>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</si>
  <si>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</si>
  <si>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</si>
  <si>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</si>
  <si>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</si>
  <si>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</si>
  <si>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</si>
  <si>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</si>
  <si>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</si>
  <si>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</si>
  <si>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</si>
  <si>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</si>
  <si>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</si>
  <si>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</si>
  <si>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</si>
  <si>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</si>
  <si>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</si>
  <si>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</si>
  <si>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</si>
  <si>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</si>
  <si>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</si>
  <si>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</si>
  <si>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</si>
  <si>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</si>
  <si>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</si>
  <si>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</si>
  <si>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</si>
  <si>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</si>
  <si>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</si>
  <si>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</si>
  <si>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</si>
  <si>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</si>
  <si>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</si>
  <si>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</si>
  <si>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</si>
  <si>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</si>
  <si>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</si>
  <si>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</si>
  <si>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</si>
  <si>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</si>
  <si>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</si>
  <si>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</si>
  <si>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</si>
  <si>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</si>
  <si>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</si>
  <si>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</si>
  <si>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</si>
  <si>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</si>
  <si>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</si>
  <si>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</si>
  <si>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</si>
  <si>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</si>
  <si>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</si>
  <si>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</si>
  <si>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</si>
  <si>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</si>
  <si>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</si>
  <si>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</si>
  <si>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</si>
  <si>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</si>
  <si>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</si>
  <si>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</si>
  <si>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</si>
  <si>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</si>
  <si>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</si>
  <si>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</si>
  <si>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</si>
  <si>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</si>
  <si>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</si>
  <si>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</si>
  <si>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</si>
  <si>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</si>
  <si>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</si>
  <si>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</si>
  <si>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</si>
  <si>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</si>
  <si>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</si>
  <si>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</si>
  <si>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</si>
  <si>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</si>
  <si>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</si>
  <si>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</si>
  <si>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</si>
  <si>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</si>
  <si>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</si>
  <si>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</si>
  <si>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</si>
  <si>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</si>
  <si>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</si>
  <si>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</si>
  <si>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</si>
  <si>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</si>
  <si>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</si>
  <si>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</si>
  <si>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</si>
  <si>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</si>
  <si>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</si>
  <si>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</si>
  <si>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</si>
  <si>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</si>
  <si>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</si>
  <si>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</si>
  <si>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</si>
  <si>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</si>
  <si>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</si>
  <si>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</si>
  <si>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</si>
  <si>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</si>
  <si>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</si>
  <si>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</si>
  <si>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</si>
  <si>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</si>
  <si>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</si>
  <si>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</si>
  <si>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</si>
  <si>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</si>
  <si>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</si>
  <si>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</si>
  <si>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</si>
  <si>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</si>
  <si>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</si>
  <si>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</si>
  <si>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</si>
  <si>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</si>
  <si>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</si>
  <si>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</si>
  <si>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</si>
  <si>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</si>
  <si>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</si>
  <si>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</si>
  <si>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</si>
  <si>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</si>
  <si>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</si>
  <si>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</si>
  <si>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</si>
  <si>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</si>
  <si>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</si>
  <si>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</si>
  <si>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</si>
  <si>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</si>
  <si>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</si>
  <si>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</si>
  <si>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</si>
  <si>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</si>
  <si>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</si>
  <si>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</si>
  <si>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</si>
  <si>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</si>
  <si>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</si>
  <si>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</si>
  <si>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</si>
  <si>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</si>
  <si>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</si>
  <si>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</si>
  <si>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</si>
  <si>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</si>
  <si>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</si>
  <si>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</si>
  <si>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</si>
  <si>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</si>
  <si>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</si>
  <si>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</si>
  <si>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</si>
  <si>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</si>
  <si>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</si>
  <si>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</si>
  <si>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</si>
  <si>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</si>
  <si>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</si>
  <si>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</si>
  <si>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</si>
  <si>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</si>
  <si>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</si>
  <si>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</si>
  <si>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</si>
  <si>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</si>
  <si>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</si>
  <si>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</si>
  <si>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</si>
  <si>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</si>
  <si>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</si>
  <si>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</si>
  <si>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</si>
  <si>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</si>
  <si>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</si>
  <si>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</si>
  <si>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</si>
  <si>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</si>
  <si>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</si>
  <si>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</si>
  <si>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</si>
  <si>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</si>
  <si>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</si>
  <si>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</si>
  <si>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</si>
  <si>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</si>
  <si>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</si>
  <si>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</si>
  <si>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</si>
  <si>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</si>
  <si>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</si>
  <si>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</si>
  <si>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</si>
  <si>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</si>
  <si>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</si>
  <si>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</si>
  <si>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</si>
  <si>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</si>
  <si>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</si>
  <si>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</si>
  <si>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</si>
  <si>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</si>
  <si>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</si>
  <si>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</si>
  <si>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</si>
  <si>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</si>
  <si>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</si>
  <si>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</si>
  <si>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</si>
  <si>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</si>
  <si>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</si>
  <si>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</si>
  <si>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</si>
  <si>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</si>
  <si>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</si>
  <si>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</si>
  <si>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</si>
  <si>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</si>
  <si>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</si>
  <si>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</si>
  <si>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</si>
  <si>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</si>
  <si>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</si>
  <si>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</si>
  <si>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</si>
  <si>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</si>
  <si>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</si>
  <si>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</si>
  <si>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</si>
  <si>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</si>
  <si>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</si>
  <si>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</si>
  <si>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</si>
  <si>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</si>
  <si>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</si>
  <si>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</si>
  <si>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</si>
  <si>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</si>
  <si>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</si>
  <si>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</si>
  <si>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</si>
  <si>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</si>
  <si>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</si>
  <si>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</si>
  <si>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</si>
  <si>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</si>
  <si>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</si>
  <si>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</si>
  <si>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</si>
  <si>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</si>
  <si>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</si>
  <si>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</si>
  <si>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</si>
  <si>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</si>
  <si>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</si>
  <si>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</si>
  <si>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</si>
  <si>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</si>
  <si>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</si>
  <si>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</si>
  <si>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</si>
  <si>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</si>
  <si>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</si>
  <si>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</si>
  <si>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</si>
  <si>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</si>
  <si>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</si>
  <si>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</si>
  <si>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</si>
  <si>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</si>
  <si>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</si>
  <si>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</si>
  <si>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</si>
  <si>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</si>
  <si>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</si>
  <si>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</si>
  <si>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</si>
  <si>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</si>
  <si>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</si>
  <si>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</si>
  <si>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</si>
  <si>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</si>
  <si>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</si>
  <si>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</si>
  <si>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</si>
  <si>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</si>
  <si>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</si>
  <si>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</si>
  <si>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</si>
  <si>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</si>
  <si>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</si>
  <si>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</si>
  <si>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</si>
  <si>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</si>
  <si>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</si>
  <si>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</si>
  <si>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</si>
  <si>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</si>
  <si>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</si>
  <si>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</si>
  <si>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</si>
  <si>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</si>
  <si>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</si>
  <si>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</si>
  <si>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</si>
  <si>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</si>
  <si>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</si>
  <si>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</si>
  <si>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</si>
  <si>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</si>
  <si>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</si>
  <si>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</si>
  <si>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</si>
  <si>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</si>
  <si>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</si>
  <si>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</si>
  <si>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</si>
  <si>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</si>
  <si>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</si>
  <si>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</si>
  <si>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</si>
  <si>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</si>
  <si>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</si>
  <si>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</si>
  <si>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</si>
  <si>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</si>
  <si>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</si>
  <si>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</si>
  <si>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</si>
  <si>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</si>
  <si>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</si>
  <si>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</si>
  <si>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</si>
  <si>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</si>
  <si>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</si>
  <si>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</si>
  <si>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</si>
  <si>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</si>
  <si>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</si>
  <si>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</si>
  <si>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</si>
  <si>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</si>
  <si>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</si>
  <si>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</si>
  <si>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</si>
  <si>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</si>
  <si>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</si>
  <si>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</si>
  <si>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</si>
  <si>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</si>
  <si>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</si>
  <si>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</si>
  <si>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</si>
  <si>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</si>
  <si>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</si>
  <si>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</si>
  <si>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</si>
  <si>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</si>
  <si>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</si>
  <si>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</si>
  <si>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</si>
  <si>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</si>
  <si>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</si>
  <si>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</si>
  <si>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</si>
  <si>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</si>
  <si>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</si>
  <si>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</si>
  <si>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</si>
  <si>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</si>
  <si>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</si>
  <si>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</si>
  <si>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</si>
  <si>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</si>
  <si>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</si>
  <si>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</si>
  <si>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</si>
  <si>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</si>
  <si>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</si>
  <si>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</si>
  <si>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</si>
  <si>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</si>
  <si>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</si>
  <si>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Registrations_TenantId</t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</si>
  <si>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</si>
  <si>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</si>
  <si>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</si>
  <si>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</si>
  <si>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</si>
  <si>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</si>
  <si>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Registrations_RegistrationId</t>
  </si>
  <si>
    <t>Registrations</t>
  </si>
  <si>
    <t>RegistrationId</t>
  </si>
  <si>
    <t>ユーザ登録ID</t>
    <rPh sb="3" eb="5">
      <t>トウロク</t>
    </rPh>
    <phoneticPr fontId="1"/>
  </si>
  <si>
    <t>Id</t>
  </si>
  <si>
    <t>Registrations_MailAddress</t>
  </si>
  <si>
    <t>MailAddress</t>
  </si>
  <si>
    <t>Registrations_Invitee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</si>
  <si>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</si>
  <si>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</si>
  <si>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</si>
  <si>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</si>
  <si>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</si>
  <si>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</si>
  <si>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Inviting,招待中
ApprovalReauest,承認依頼
Invited,招待済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</si>
</sst>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20304;&#34276;&#32681;&#20043;/Desktop/20190605_definition_Colum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lumn"/>
    </sheetNames>
    <sheetDataSet>
      <sheetData sheetId="0">
        <row r="105">
          <cell r="C105" t="str">
            <v>Registrations</v>
          </cell>
          <cell r="G105" t="str">
            <v>LoginId</v>
          </cell>
        </row>
        <row r="106">
          <cell r="C106" t="str">
            <v>Registrations</v>
          </cell>
          <cell r="G106" t="str">
            <v>Name</v>
          </cell>
        </row>
        <row r="107">
          <cell r="C107" t="str">
            <v>Registrations</v>
          </cell>
          <cell r="G107" t="str">
            <v>Password</v>
          </cell>
        </row>
        <row r="108">
          <cell r="C108" t="str">
            <v>Registrations</v>
          </cell>
          <cell r="G108" t="str">
            <v>PasswordValidate</v>
          </cell>
        </row>
        <row r="109">
          <cell r="C109" t="str">
            <v>Registrations</v>
          </cell>
          <cell r="G109" t="str">
            <v>Language</v>
          </cell>
        </row>
        <row r="110">
          <cell r="C110" t="str">
            <v>Registrations</v>
          </cell>
          <cell r="G110" t="str">
            <v>Passphrase</v>
          </cell>
        </row>
        <row r="111">
          <cell r="C111" t="str">
            <v>Registrations</v>
          </cell>
          <cell r="G111" t="str">
            <v>Invitingflg</v>
          </cell>
        </row>
        <row r="112">
          <cell r="C112" t="str">
            <v>Registrations</v>
          </cell>
          <cell r="G112" t="str">
            <v>UserId</v>
          </cell>
        </row>
        <row r="113">
          <cell r="C113" t="str">
            <v>Registrations</v>
          </cell>
          <cell r="G113" t="str">
            <v>DeptId</v>
          </cell>
        </row>
        <row r="114">
          <cell r="C114" t="str">
            <v>Registrations</v>
          </cell>
          <cell r="G114" t="str">
            <v>GroupId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4" totalsRowShown="0" headerRowDxfId="111" dataDxfId="110" tableBorderDxfId="109">
  <autoFilter ref="A1:DE274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4"/>
  <sheetViews>
    <sheetView showGridLines="0" tabSelected="1" zoomScale="90" zoomScaleNormal="90" workbookViewId="0">
      <pane xSplit="8" ySplit="2" topLeftCell="CA87" activePane="bottomRight" state="frozen"/>
      <selection activeCell="B1" sqref="B1"/>
      <selection pane="topRight" activeCell="J1" sqref="J1"/>
      <selection pane="bottomLeft" activeCell="B3" sqref="B3"/>
      <selection pane="bottomRight" activeCell="CI110" sqref="CI110"/>
    </sheetView>
  </sheetViews>
  <sheetFormatPr defaultColWidth="23.453125" defaultRowHeight="13" x14ac:dyDescent="0.2"/>
  <cols>
    <col min="1" max="1" width="24.26953125" style="3" hidden="1" customWidth="1"/>
    <col min="2" max="8" width="23.453125" style="3"/>
    <col min="9" max="109" width="6.7265625" style="3" customWidth="1"/>
    <col min="110" max="16384" width="23.453125" style="3"/>
  </cols>
  <sheetData>
    <row r="1" spans="1:109" ht="108" x14ac:dyDescent="0.2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618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393</v>
      </c>
      <c r="N1" s="2" t="s">
        <v>454</v>
      </c>
      <c r="O1" s="2" t="s">
        <v>448</v>
      </c>
      <c r="P1" s="2" t="s">
        <v>455</v>
      </c>
      <c r="Q1" s="2" t="s">
        <v>394</v>
      </c>
      <c r="R1" s="2" t="s">
        <v>456</v>
      </c>
      <c r="S1" s="2" t="s">
        <v>395</v>
      </c>
      <c r="T1" s="2" t="s">
        <v>444</v>
      </c>
      <c r="U1" s="2" t="s">
        <v>457</v>
      </c>
      <c r="V1" s="2" t="s">
        <v>443</v>
      </c>
      <c r="W1" s="2" t="s">
        <v>458</v>
      </c>
      <c r="X1" s="2" t="s">
        <v>555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554</v>
      </c>
      <c r="AZ1" s="2" t="s">
        <v>802</v>
      </c>
      <c r="BA1" s="2" t="s">
        <v>524</v>
      </c>
      <c r="BB1" s="2" t="s">
        <v>525</v>
      </c>
      <c r="BC1" s="2" t="s">
        <v>526</v>
      </c>
      <c r="BD1" s="2" t="s">
        <v>278</v>
      </c>
      <c r="BE1" s="2" t="s">
        <v>408</v>
      </c>
      <c r="BF1" s="2" t="s">
        <v>386</v>
      </c>
      <c r="BG1" s="2" t="s">
        <v>271</v>
      </c>
      <c r="BH1" s="2" t="s">
        <v>272</v>
      </c>
      <c r="BI1" s="2" t="s">
        <v>214</v>
      </c>
      <c r="BJ1" s="2" t="s">
        <v>585</v>
      </c>
      <c r="BK1" s="2" t="s">
        <v>215</v>
      </c>
      <c r="BL1" s="2" t="s">
        <v>216</v>
      </c>
      <c r="BM1" s="2" t="s">
        <v>347</v>
      </c>
      <c r="BN1" s="2" t="s">
        <v>391</v>
      </c>
      <c r="BO1" s="2" t="s">
        <v>348</v>
      </c>
      <c r="BP1" s="2" t="s">
        <v>99</v>
      </c>
      <c r="BQ1" s="2" t="s">
        <v>459</v>
      </c>
      <c r="BR1" s="2" t="s">
        <v>521</v>
      </c>
      <c r="BS1" s="2" t="s">
        <v>402</v>
      </c>
      <c r="BT1" s="2" t="s">
        <v>403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445</v>
      </c>
      <c r="CB1" s="2" t="s">
        <v>324</v>
      </c>
      <c r="CC1" s="2" t="s">
        <v>527</v>
      </c>
      <c r="CD1" s="2" t="s">
        <v>450</v>
      </c>
      <c r="CE1" s="2" t="s">
        <v>475</v>
      </c>
      <c r="CF1" s="2" t="s">
        <v>451</v>
      </c>
      <c r="CG1" s="2" t="s">
        <v>336</v>
      </c>
      <c r="CH1" s="2" t="s">
        <v>337</v>
      </c>
      <c r="CI1" s="2" t="s">
        <v>258</v>
      </c>
      <c r="CJ1" s="2" t="s">
        <v>479</v>
      </c>
      <c r="CK1" s="2" t="s">
        <v>165</v>
      </c>
      <c r="CL1" s="2" t="s">
        <v>219</v>
      </c>
      <c r="CM1" s="2" t="s">
        <v>292</v>
      </c>
      <c r="CN1" s="2" t="s">
        <v>465</v>
      </c>
      <c r="CO1" s="2" t="s">
        <v>466</v>
      </c>
      <c r="CP1" s="2" t="s">
        <v>470</v>
      </c>
      <c r="CQ1" s="2" t="s">
        <v>467</v>
      </c>
      <c r="CR1" s="2" t="s">
        <v>469</v>
      </c>
      <c r="CS1" s="2" t="s">
        <v>468</v>
      </c>
      <c r="CT1" s="2" t="s">
        <v>164</v>
      </c>
      <c r="CU1" s="2" t="s">
        <v>163</v>
      </c>
      <c r="CV1" s="2" t="s">
        <v>166</v>
      </c>
      <c r="CW1" s="2" t="s">
        <v>389</v>
      </c>
      <c r="CX1" s="2" t="s">
        <v>325</v>
      </c>
      <c r="CY1" s="2" t="s">
        <v>476</v>
      </c>
      <c r="CZ1" s="2" t="s">
        <v>477</v>
      </c>
      <c r="DA1" s="2" t="s">
        <v>478</v>
      </c>
      <c r="DB1" s="2" t="s">
        <v>167</v>
      </c>
      <c r="DC1" s="2" t="s">
        <v>90</v>
      </c>
      <c r="DD1" s="2" t="s">
        <v>464</v>
      </c>
      <c r="DE1" s="2" t="s">
        <v>829</v>
      </c>
    </row>
    <row r="2" spans="1:109" x14ac:dyDescent="0.2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449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460</v>
      </c>
      <c r="BR2" s="4" t="s">
        <v>522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480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404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2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619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2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620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610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2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621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808</v>
      </c>
      <c r="BJ5" s="5" t="s">
        <v>586</v>
      </c>
      <c r="BK5" s="5" t="s">
        <v>603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2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622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583</v>
      </c>
      <c r="BT6" s="5"/>
      <c r="BU6" s="5"/>
      <c r="BV6" s="5"/>
      <c r="BW6" s="5"/>
      <c r="BX6" s="5"/>
      <c r="BY6" s="5"/>
      <c r="BZ6" s="5"/>
      <c r="CA6" s="5"/>
      <c r="CB6" s="5" t="s">
        <v>557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2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623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565</v>
      </c>
      <c r="BN7" s="5"/>
      <c r="BO7" s="5" t="s">
        <v>523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828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2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624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509</v>
      </c>
      <c r="BC8" s="5" t="s">
        <v>509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511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2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625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569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2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626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810</v>
      </c>
      <c r="BJ10" s="5"/>
      <c r="BK10" s="5" t="s">
        <v>605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2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627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810</v>
      </c>
      <c r="BJ11" s="5"/>
      <c r="BK11" s="5" t="s">
        <v>605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2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563</v>
      </c>
      <c r="H12" s="5" t="s">
        <v>628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2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620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610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2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629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2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630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574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2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631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2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632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2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621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808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2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622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557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2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528</v>
      </c>
      <c r="H20" s="5" t="s">
        <v>633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528</v>
      </c>
      <c r="AA20" s="5" t="s">
        <v>530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529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2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531</v>
      </c>
      <c r="H21" s="5" t="s">
        <v>634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2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826</v>
      </c>
      <c r="H22" s="11" t="s">
        <v>827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2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789</v>
      </c>
      <c r="H23" s="11" t="s">
        <v>790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791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2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792</v>
      </c>
      <c r="G24" s="5" t="s">
        <v>793</v>
      </c>
      <c r="H24" s="11" t="s">
        <v>799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796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2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792</v>
      </c>
      <c r="G25" s="5" t="s">
        <v>795</v>
      </c>
      <c r="H25" s="11" t="s">
        <v>800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796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2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792</v>
      </c>
      <c r="G26" s="5" t="s">
        <v>794</v>
      </c>
      <c r="H26" s="11" t="s">
        <v>801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796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2">
      <c r="A27" s="5" t="str">
        <f>Column!$C27&amp;"_"&amp;Column!$G27</f>
        <v>Demos_DemoId</v>
      </c>
      <c r="B27" s="5" t="s">
        <v>435</v>
      </c>
      <c r="C27" s="5" t="s">
        <v>436</v>
      </c>
      <c r="D27" s="5"/>
      <c r="E27" s="5"/>
      <c r="F27" s="5" t="s">
        <v>434</v>
      </c>
      <c r="G27" s="5" t="s">
        <v>431</v>
      </c>
      <c r="H27" s="5" t="s">
        <v>635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2">
      <c r="A28" s="5" t="str">
        <f>Column!$C28&amp;"_"&amp;Column!$G28</f>
        <v>Demos_TenantId</v>
      </c>
      <c r="B28" s="5" t="s">
        <v>435</v>
      </c>
      <c r="C28" s="5" t="s">
        <v>436</v>
      </c>
      <c r="D28" s="5"/>
      <c r="E28" s="5"/>
      <c r="F28" s="5" t="s">
        <v>434</v>
      </c>
      <c r="G28" s="5" t="s">
        <v>432</v>
      </c>
      <c r="H28" s="5" t="s">
        <v>631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437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2">
      <c r="A29" s="5" t="str">
        <f>Column!$C29&amp;"_"&amp;Column!$G29</f>
        <v>Demos_Title</v>
      </c>
      <c r="B29" s="5" t="s">
        <v>435</v>
      </c>
      <c r="C29" s="5" t="s">
        <v>436</v>
      </c>
      <c r="D29" s="5"/>
      <c r="E29" s="5"/>
      <c r="F29" s="5" t="s">
        <v>434</v>
      </c>
      <c r="G29" s="5" t="s">
        <v>64</v>
      </c>
      <c r="H29" s="5" t="s">
        <v>621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808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2">
      <c r="A30" s="5" t="str">
        <f>Column!$C30&amp;"_"&amp;Column!$G30</f>
        <v>Demos_LoginId</v>
      </c>
      <c r="B30" s="5" t="s">
        <v>435</v>
      </c>
      <c r="C30" s="5" t="s">
        <v>436</v>
      </c>
      <c r="D30" s="5"/>
      <c r="E30" s="5"/>
      <c r="F30" s="5" t="s">
        <v>434</v>
      </c>
      <c r="G30" s="5" t="s">
        <v>141</v>
      </c>
      <c r="H30" s="5" t="s">
        <v>687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2">
      <c r="A31" s="5" t="str">
        <f>Column!$C31&amp;"_"&amp;Column!$G31</f>
        <v>Demos_Passphrase</v>
      </c>
      <c r="B31" s="5" t="s">
        <v>435</v>
      </c>
      <c r="C31" s="5" t="s">
        <v>436</v>
      </c>
      <c r="D31" s="5"/>
      <c r="E31" s="5"/>
      <c r="F31" s="5" t="s">
        <v>434</v>
      </c>
      <c r="G31" s="5" t="s">
        <v>433</v>
      </c>
      <c r="H31" s="5" t="s">
        <v>636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2">
      <c r="A32" s="5" t="str">
        <f>Column!$C32&amp;"_"&amp;Column!$G32</f>
        <v>Demos_MailAddress</v>
      </c>
      <c r="B32" s="5" t="s">
        <v>435</v>
      </c>
      <c r="C32" s="5" t="s">
        <v>436</v>
      </c>
      <c r="D32" s="5"/>
      <c r="E32" s="5"/>
      <c r="F32" s="5" t="s">
        <v>434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2">
      <c r="A33" s="5" t="str">
        <f>Column!$C33&amp;"_"&amp;Column!$G33</f>
        <v>Demos_Initialized</v>
      </c>
      <c r="B33" s="5" t="s">
        <v>435</v>
      </c>
      <c r="C33" s="5" t="s">
        <v>436</v>
      </c>
      <c r="D33" s="5"/>
      <c r="E33" s="5"/>
      <c r="F33" s="5" t="s">
        <v>434</v>
      </c>
      <c r="G33" s="5" t="s">
        <v>438</v>
      </c>
      <c r="H33" s="5" t="s">
        <v>637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439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2">
      <c r="A34" s="5" t="str">
        <f>Column!$C34&amp;"_"&amp;Column!$G34</f>
        <v>Demos_TimeLag</v>
      </c>
      <c r="B34" s="5" t="s">
        <v>435</v>
      </c>
      <c r="C34" s="5" t="s">
        <v>436</v>
      </c>
      <c r="D34" s="5"/>
      <c r="E34" s="5"/>
      <c r="F34" s="5" t="s">
        <v>434</v>
      </c>
      <c r="G34" s="5" t="s">
        <v>440</v>
      </c>
      <c r="H34" s="5" t="s">
        <v>638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441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2">
      <c r="A35" s="5" t="str">
        <f>Column!$C35&amp;"_"&amp;Column!$G35</f>
        <v>Sessions_SessionGuid</v>
      </c>
      <c r="B35" s="5" t="s">
        <v>612</v>
      </c>
      <c r="C35" s="5" t="s">
        <v>613</v>
      </c>
      <c r="D35" s="5"/>
      <c r="E35" s="5"/>
      <c r="F35" s="5" t="s">
        <v>611</v>
      </c>
      <c r="G35" s="5" t="s">
        <v>110</v>
      </c>
      <c r="H35" s="5" t="s">
        <v>776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615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2">
      <c r="A36" s="5" t="str">
        <f>Column!$C36&amp;"_"&amp;Column!$G36</f>
        <v>Sessions_Key</v>
      </c>
      <c r="B36" s="5" t="s">
        <v>255</v>
      </c>
      <c r="C36" s="5" t="s">
        <v>613</v>
      </c>
      <c r="D36" s="5"/>
      <c r="E36" s="5"/>
      <c r="F36" s="5" t="s">
        <v>611</v>
      </c>
      <c r="G36" s="5" t="s">
        <v>535</v>
      </c>
      <c r="H36" s="5" t="s">
        <v>718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2">
      <c r="A37" s="5" t="str">
        <f>Column!$C37&amp;"_"&amp;Column!$G37</f>
        <v>Sessions_Page</v>
      </c>
      <c r="B37" s="5" t="s">
        <v>612</v>
      </c>
      <c r="C37" s="5" t="s">
        <v>613</v>
      </c>
      <c r="D37" s="5"/>
      <c r="E37" s="5"/>
      <c r="F37" s="5" t="s">
        <v>611</v>
      </c>
      <c r="G37" s="5" t="s">
        <v>779</v>
      </c>
      <c r="H37" s="5" t="s">
        <v>780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2">
      <c r="A38" s="5" t="str">
        <f>Column!$C38&amp;"_"&amp;Column!$G38</f>
        <v>Sessions_Value</v>
      </c>
      <c r="B38" s="5" t="s">
        <v>612</v>
      </c>
      <c r="C38" s="5" t="s">
        <v>613</v>
      </c>
      <c r="D38" s="5"/>
      <c r="E38" s="5"/>
      <c r="F38" s="5" t="s">
        <v>611</v>
      </c>
      <c r="G38" s="5" t="s">
        <v>614</v>
      </c>
      <c r="H38" s="5" t="s">
        <v>777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615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2">
      <c r="A39" s="5" t="str">
        <f>Column!$C39&amp;"_"&amp;Column!$G39</f>
        <v>Sessions_ReadOnce</v>
      </c>
      <c r="B39" s="5" t="s">
        <v>255</v>
      </c>
      <c r="C39" s="5" t="s">
        <v>613</v>
      </c>
      <c r="D39" s="5"/>
      <c r="E39" s="5"/>
      <c r="F39" s="5" t="s">
        <v>611</v>
      </c>
      <c r="G39" s="5" t="s">
        <v>616</v>
      </c>
      <c r="H39" s="5" t="s">
        <v>778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617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2">
      <c r="A40" s="12" t="str">
        <f>Column!$C40&amp;"_"&amp;Column!$G40</f>
        <v>Sessions_UserArea</v>
      </c>
      <c r="B40" s="13" t="s">
        <v>255</v>
      </c>
      <c r="C40" s="13" t="s">
        <v>613</v>
      </c>
      <c r="D40" s="13"/>
      <c r="E40" s="13"/>
      <c r="F40" s="5" t="s">
        <v>611</v>
      </c>
      <c r="G40" s="13" t="s">
        <v>818</v>
      </c>
      <c r="H40" s="14" t="s">
        <v>819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2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628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2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639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2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640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2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641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2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642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2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643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2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644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2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645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2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646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2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647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2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648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2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649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2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650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2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651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2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652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2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653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2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654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2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655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2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656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2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657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2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658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2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659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2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660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2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661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2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662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2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663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2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664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2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665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2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666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2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667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2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668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2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669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2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670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2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671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2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672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2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621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2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673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2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674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2">
      <c r="A79" s="5" t="str">
        <f>Column!$C79&amp;"_"&amp;Column!$G79</f>
        <v>Statuses_TenantId</v>
      </c>
      <c r="B79" s="5" t="s">
        <v>44</v>
      </c>
      <c r="C79" s="5" t="s">
        <v>516</v>
      </c>
      <c r="D79" s="5"/>
      <c r="E79" s="5"/>
      <c r="F79" s="5" t="s">
        <v>517</v>
      </c>
      <c r="G79" s="5" t="s">
        <v>545</v>
      </c>
      <c r="H79" s="5" t="s">
        <v>631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2">
      <c r="A80" s="5" t="str">
        <f>Column!$C80&amp;"_"&amp;Column!$G80</f>
        <v>Statuses_StatusId</v>
      </c>
      <c r="B80" s="5" t="s">
        <v>515</v>
      </c>
      <c r="C80" s="5" t="s">
        <v>516</v>
      </c>
      <c r="D80" s="5"/>
      <c r="E80" s="5"/>
      <c r="F80" s="5" t="s">
        <v>517</v>
      </c>
      <c r="G80" s="5" t="s">
        <v>518</v>
      </c>
      <c r="H80" s="5" t="s">
        <v>675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520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2">
      <c r="A81" s="5" t="str">
        <f>Column!$C81&amp;"_"&amp;Column!$G81</f>
        <v>Statuses_Value</v>
      </c>
      <c r="B81" s="5" t="s">
        <v>515</v>
      </c>
      <c r="C81" s="5" t="s">
        <v>578</v>
      </c>
      <c r="D81" s="5"/>
      <c r="E81" s="5"/>
      <c r="F81" s="5" t="s">
        <v>517</v>
      </c>
      <c r="G81" s="5" t="s">
        <v>519</v>
      </c>
      <c r="H81" s="5" t="s">
        <v>676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2">
      <c r="A82" s="5" t="str">
        <f>Column!$C82&amp;"_"&amp;Column!$G82</f>
        <v>ReminderSchedules_SiteId</v>
      </c>
      <c r="B82" s="5" t="s">
        <v>581</v>
      </c>
      <c r="C82" s="5" t="s">
        <v>580</v>
      </c>
      <c r="D82" s="5"/>
      <c r="E82" s="5"/>
      <c r="F82" s="5" t="s">
        <v>582</v>
      </c>
      <c r="G82" s="5" t="s">
        <v>576</v>
      </c>
      <c r="H82" s="5" t="s">
        <v>619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2">
      <c r="A83" s="5" t="str">
        <f>Column!$C83&amp;"_"&amp;Column!$G83</f>
        <v>ReminderSchedules_Id</v>
      </c>
      <c r="B83" s="5" t="s">
        <v>581</v>
      </c>
      <c r="C83" s="5" t="s">
        <v>580</v>
      </c>
      <c r="D83" s="5"/>
      <c r="E83" s="5"/>
      <c r="F83" s="5" t="s">
        <v>582</v>
      </c>
      <c r="G83" s="5" t="s">
        <v>577</v>
      </c>
      <c r="H83" s="5" t="s">
        <v>677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2">
      <c r="A84" s="5" t="str">
        <f>Column!$C84&amp;"_"&amp;Column!$G84</f>
        <v>ReminderSchedules_ScheduledTime</v>
      </c>
      <c r="B84" s="5" t="s">
        <v>581</v>
      </c>
      <c r="C84" s="5" t="s">
        <v>580</v>
      </c>
      <c r="D84" s="5"/>
      <c r="E84" s="5"/>
      <c r="F84" s="5" t="s">
        <v>582</v>
      </c>
      <c r="G84" s="5" t="s">
        <v>579</v>
      </c>
      <c r="H84" s="5" t="s">
        <v>678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2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631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512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2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679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512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2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680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2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498</v>
      </c>
      <c r="BO88" s="5" t="s">
        <v>498</v>
      </c>
      <c r="BP88" s="5"/>
      <c r="BQ88" s="5"/>
      <c r="BR88" s="5"/>
      <c r="BS88" s="5"/>
      <c r="BT88" s="5"/>
      <c r="BU88" s="5"/>
      <c r="BV88" s="5"/>
      <c r="BW88" s="5" t="s">
        <v>604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2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681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2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682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583</v>
      </c>
      <c r="BT90" s="5"/>
      <c r="BU90" s="5"/>
      <c r="BV90" s="5"/>
      <c r="BW90" s="5"/>
      <c r="BX90" s="5"/>
      <c r="BY90" s="5"/>
      <c r="BZ90" s="5"/>
      <c r="CA90" s="5"/>
      <c r="CB90" s="5" t="s">
        <v>557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2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64</v>
      </c>
      <c r="H91" s="5" t="s">
        <v>681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2">
      <c r="A92" s="5" t="str">
        <f>Column!$C92&amp;"_"&amp;Column!$G92</f>
        <v>Groups_TenantId</v>
      </c>
      <c r="B92" s="5" t="s">
        <v>486</v>
      </c>
      <c r="C92" s="5" t="s">
        <v>481</v>
      </c>
      <c r="D92" s="5"/>
      <c r="E92" s="5"/>
      <c r="F92" s="5" t="s">
        <v>482</v>
      </c>
      <c r="G92" s="5" t="s">
        <v>483</v>
      </c>
      <c r="H92" s="5" t="s">
        <v>631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513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2">
      <c r="A93" s="5" t="str">
        <f>Column!$C93&amp;"_"&amp;Column!$G93</f>
        <v>Groups_GroupId</v>
      </c>
      <c r="B93" s="5" t="s">
        <v>486</v>
      </c>
      <c r="C93" s="5" t="s">
        <v>481</v>
      </c>
      <c r="D93" s="5"/>
      <c r="E93" s="5"/>
      <c r="F93" s="5" t="s">
        <v>482</v>
      </c>
      <c r="G93" s="5" t="s">
        <v>484</v>
      </c>
      <c r="H93" s="5" t="s">
        <v>683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2">
      <c r="A94" s="5" t="str">
        <f>Column!$C94&amp;"_"&amp;Column!$G94</f>
        <v>Groups_GroupName</v>
      </c>
      <c r="B94" s="5" t="s">
        <v>486</v>
      </c>
      <c r="C94" s="5" t="s">
        <v>481</v>
      </c>
      <c r="D94" s="5"/>
      <c r="E94" s="5"/>
      <c r="F94" s="5" t="s">
        <v>482</v>
      </c>
      <c r="G94" s="5" t="s">
        <v>485</v>
      </c>
      <c r="H94" s="5" t="s">
        <v>684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2">
      <c r="A95" s="5" t="str">
        <f>Column!$C95&amp;"_"&amp;Column!$G95</f>
        <v>Groups_Body</v>
      </c>
      <c r="B95" s="5" t="s">
        <v>486</v>
      </c>
      <c r="C95" s="5" t="s">
        <v>481</v>
      </c>
      <c r="D95" s="5"/>
      <c r="E95" s="5"/>
      <c r="F95" s="5" t="s">
        <v>482</v>
      </c>
      <c r="G95" s="5" t="s">
        <v>2</v>
      </c>
      <c r="H95" s="5" t="s">
        <v>682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583</v>
      </c>
      <c r="BT95" s="5"/>
      <c r="BU95" s="5"/>
      <c r="BV95" s="5"/>
      <c r="BW95" s="5"/>
      <c r="BX95" s="5"/>
      <c r="BY95" s="5"/>
      <c r="BZ95" s="5"/>
      <c r="CA95" s="5"/>
      <c r="CB95" s="5" t="s">
        <v>557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2">
      <c r="A96" s="5" t="str">
        <f>Column!$C96&amp;"_"&amp;Column!$G96</f>
        <v>Groups_Title</v>
      </c>
      <c r="B96" s="5" t="s">
        <v>486</v>
      </c>
      <c r="C96" s="5" t="s">
        <v>481</v>
      </c>
      <c r="D96" s="5"/>
      <c r="E96" s="5"/>
      <c r="F96" s="5" t="s">
        <v>482</v>
      </c>
      <c r="G96" s="5" t="s">
        <v>246</v>
      </c>
      <c r="H96" s="5" t="s">
        <v>684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490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2">
      <c r="A97" s="5" t="str">
        <f>Column!$C97&amp;"_"&amp;Column!$G97</f>
        <v>GroupMembers_GroupId</v>
      </c>
      <c r="B97" s="5" t="s">
        <v>487</v>
      </c>
      <c r="C97" s="5" t="s">
        <v>488</v>
      </c>
      <c r="D97" s="5"/>
      <c r="E97" s="5"/>
      <c r="F97" s="5" t="s">
        <v>489</v>
      </c>
      <c r="G97" s="5" t="s">
        <v>484</v>
      </c>
      <c r="H97" s="5" t="s">
        <v>683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2">
      <c r="A98" s="5" t="str">
        <f>Column!$C98&amp;"_"&amp;Column!$G98</f>
        <v>GroupMembers_DeptId</v>
      </c>
      <c r="B98" s="5" t="s">
        <v>487</v>
      </c>
      <c r="C98" s="5" t="s">
        <v>488</v>
      </c>
      <c r="D98" s="5"/>
      <c r="E98" s="5"/>
      <c r="F98" s="5" t="s">
        <v>489</v>
      </c>
      <c r="G98" s="5" t="s">
        <v>103</v>
      </c>
      <c r="H98" s="5" t="s">
        <v>679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2">
      <c r="A99" s="5" t="str">
        <f>Column!$C99&amp;"_"&amp;Column!$G99</f>
        <v>GroupMembers_UserId</v>
      </c>
      <c r="B99" s="5" t="s">
        <v>487</v>
      </c>
      <c r="C99" s="5" t="s">
        <v>488</v>
      </c>
      <c r="D99" s="5"/>
      <c r="E99" s="5"/>
      <c r="F99" s="5" t="s">
        <v>489</v>
      </c>
      <c r="G99" s="5" t="s">
        <v>104</v>
      </c>
      <c r="H99" s="5" t="s">
        <v>685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2">
      <c r="A100" s="5" t="str">
        <f>Column!$C100&amp;"_"&amp;Column!$G100</f>
        <v>GroupMembers_Admin</v>
      </c>
      <c r="B100" s="5" t="s">
        <v>487</v>
      </c>
      <c r="C100" s="5" t="s">
        <v>488</v>
      </c>
      <c r="D100" s="5"/>
      <c r="E100" s="5"/>
      <c r="F100" s="5" t="s">
        <v>489</v>
      </c>
      <c r="G100" s="5" t="s">
        <v>502</v>
      </c>
      <c r="H100" s="5" t="s">
        <v>686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2">
      <c r="A101" s="5" t="s">
        <v>830</v>
      </c>
      <c r="B101" s="5" t="s">
        <v>831</v>
      </c>
      <c r="C101" s="5" t="s">
        <v>832</v>
      </c>
      <c r="D101" s="5"/>
      <c r="E101" s="5"/>
      <c r="F101" s="5" t="s">
        <v>833</v>
      </c>
      <c r="G101" s="5" t="s">
        <v>267</v>
      </c>
      <c r="H101" s="5" t="s">
        <v>834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835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836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2">
      <c r="A102" s="5" t="s">
        <v>837</v>
      </c>
      <c r="B102" s="5" t="s">
        <v>831</v>
      </c>
      <c r="C102" s="5" t="s">
        <v>838</v>
      </c>
      <c r="D102" s="5"/>
      <c r="E102" s="5"/>
      <c r="F102" s="5" t="s">
        <v>833</v>
      </c>
      <c r="G102" s="5" t="s">
        <v>839</v>
      </c>
      <c r="H102" s="5" t="s">
        <v>840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835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836</v>
      </c>
      <c r="BU102" s="5"/>
      <c r="BV102" s="5"/>
      <c r="BW102" s="5"/>
      <c r="BX102" s="5"/>
      <c r="BY102" s="5"/>
      <c r="BZ102" s="5"/>
      <c r="CA102" s="5"/>
      <c r="CB102" s="5" t="s">
        <v>841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2">
      <c r="A103" s="5" t="s">
        <v>842</v>
      </c>
      <c r="B103" s="5" t="s">
        <v>831</v>
      </c>
      <c r="C103" s="5" t="s">
        <v>838</v>
      </c>
      <c r="D103" s="5"/>
      <c r="E103" s="5"/>
      <c r="F103" s="5" t="s">
        <v>833</v>
      </c>
      <c r="G103" s="5" t="s">
        <v>843</v>
      </c>
      <c r="H103" s="5" t="s">
        <v>218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430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2">
      <c r="A104" s="5" t="s">
        <v>844</v>
      </c>
      <c r="B104" s="5" t="s">
        <v>831</v>
      </c>
      <c r="C104" s="5" t="s">
        <v>832</v>
      </c>
      <c r="D104" s="5"/>
      <c r="E104" s="5"/>
      <c r="F104" s="5" t="s">
        <v>833</v>
      </c>
      <c r="G104" s="5" t="s">
        <v>845</v>
      </c>
      <c r="H104" s="5" t="s">
        <v>846</v>
      </c>
      <c r="I104" s="5">
        <v>102</v>
      </c>
      <c r="J104" s="5">
        <v>102</v>
      </c>
      <c r="K104" s="5"/>
      <c r="L104" s="5"/>
      <c r="M104" s="5">
        <v>102</v>
      </c>
      <c r="N104" s="5">
        <v>1</v>
      </c>
      <c r="O104" s="5">
        <v>102</v>
      </c>
      <c r="P104" s="5">
        <v>1</v>
      </c>
      <c r="Q104" s="5">
        <v>102</v>
      </c>
      <c r="R104" s="5">
        <v>1</v>
      </c>
      <c r="S104" s="5"/>
      <c r="T104" s="5">
        <v>102</v>
      </c>
      <c r="U104" s="5"/>
      <c r="V104" s="5">
        <v>102</v>
      </c>
      <c r="W104" s="5"/>
      <c r="X104" s="5"/>
      <c r="Y104" s="5" t="s">
        <v>835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>
        <v>1</v>
      </c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2">
      <c r="A105" s="5" t="str">
        <f>[1]Column!$C105&amp;"_"&amp;[1]Column!$G105</f>
        <v>Registrations_LoginId</v>
      </c>
      <c r="B105" s="5" t="s">
        <v>831</v>
      </c>
      <c r="C105" s="5" t="s">
        <v>832</v>
      </c>
      <c r="D105" s="5"/>
      <c r="E105" s="5"/>
      <c r="F105" s="5" t="s">
        <v>833</v>
      </c>
      <c r="G105" s="5" t="s">
        <v>141</v>
      </c>
      <c r="H105" s="5" t="s">
        <v>687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68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>
        <v>1</v>
      </c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2">
      <c r="A106" s="5" t="str">
        <f>[1]Column!$C106&amp;"_"&amp;[1]Column!$G106</f>
        <v>Registrations_Name</v>
      </c>
      <c r="B106" s="5" t="s">
        <v>831</v>
      </c>
      <c r="C106" s="5" t="s">
        <v>832</v>
      </c>
      <c r="D106" s="5"/>
      <c r="E106" s="5"/>
      <c r="F106" s="5" t="s">
        <v>833</v>
      </c>
      <c r="G106" s="5" t="s">
        <v>532</v>
      </c>
      <c r="H106" s="5" t="s">
        <v>689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>
        <v>1</v>
      </c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>
        <v>1</v>
      </c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2">
      <c r="A107" s="5" t="str">
        <f>[1]Column!$C107&amp;"_"&amp;[1]Column!$G107</f>
        <v>Registrations_Password</v>
      </c>
      <c r="B107" s="5" t="s">
        <v>831</v>
      </c>
      <c r="C107" s="5" t="s">
        <v>832</v>
      </c>
      <c r="D107" s="5"/>
      <c r="E107" s="5"/>
      <c r="F107" s="5" t="s">
        <v>833</v>
      </c>
      <c r="G107" s="5" t="s">
        <v>25</v>
      </c>
      <c r="H107" s="5" t="s">
        <v>691</v>
      </c>
      <c r="I107" s="5">
        <v>105</v>
      </c>
      <c r="J107" s="5">
        <v>105</v>
      </c>
      <c r="K107" s="5"/>
      <c r="L107" s="5"/>
      <c r="M107" s="5"/>
      <c r="N107" s="5"/>
      <c r="O107" s="5"/>
      <c r="P107" s="5"/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>
        <v>1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2">
      <c r="A108" s="5" t="str">
        <f>[1]Column!$C108&amp;"_"&amp;[1]Column!$G108</f>
        <v>Registrations_PasswordValidate</v>
      </c>
      <c r="B108" s="5" t="s">
        <v>831</v>
      </c>
      <c r="C108" s="5" t="s">
        <v>832</v>
      </c>
      <c r="D108" s="5"/>
      <c r="E108" s="5"/>
      <c r="F108" s="5" t="s">
        <v>833</v>
      </c>
      <c r="G108" s="5" t="s">
        <v>298</v>
      </c>
      <c r="H108" s="5" t="s">
        <v>692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/>
      <c r="BA108" s="5"/>
      <c r="BB108" s="5"/>
      <c r="BC108" s="5"/>
      <c r="BD108" s="5"/>
      <c r="BE108" s="5"/>
      <c r="BF108" s="5"/>
      <c r="BG108" s="5">
        <v>1</v>
      </c>
      <c r="BH108" s="5">
        <v>1</v>
      </c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 t="s">
        <v>512</v>
      </c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 t="s">
        <v>847</v>
      </c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2">
      <c r="A109" s="5" t="str">
        <f>[1]Column!$C109&amp;"_"&amp;[1]Column!$G109</f>
        <v>Registrations_Language</v>
      </c>
      <c r="B109" s="5" t="s">
        <v>831</v>
      </c>
      <c r="C109" s="5" t="s">
        <v>832</v>
      </c>
      <c r="D109" s="5"/>
      <c r="E109" s="5"/>
      <c r="F109" s="5" t="s">
        <v>833</v>
      </c>
      <c r="G109" s="5" t="s">
        <v>11</v>
      </c>
      <c r="H109" s="5" t="s">
        <v>699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333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7" t="s">
        <v>257</v>
      </c>
      <c r="CC109" s="7"/>
      <c r="CD109" s="7"/>
      <c r="CE109" s="7"/>
      <c r="CF109" s="7"/>
      <c r="CG109" s="7"/>
      <c r="CH109" s="7"/>
      <c r="CI109" s="8" t="s">
        <v>335</v>
      </c>
      <c r="CJ109" s="8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2">
      <c r="A110" s="5" t="str">
        <f>[1]Column!$C110&amp;"_"&amp;[1]Column!$G110</f>
        <v>Registrations_Passphrase</v>
      </c>
      <c r="B110" s="5" t="s">
        <v>831</v>
      </c>
      <c r="C110" s="5" t="s">
        <v>832</v>
      </c>
      <c r="D110" s="5"/>
      <c r="E110" s="5"/>
      <c r="F110" s="5" t="s">
        <v>833</v>
      </c>
      <c r="G110" s="5" t="s">
        <v>433</v>
      </c>
      <c r="H110" s="5" t="s">
        <v>636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108</v>
      </c>
      <c r="U110" s="5"/>
      <c r="V110" s="5">
        <v>108</v>
      </c>
      <c r="W110" s="5"/>
      <c r="X110" s="5"/>
      <c r="Y110" s="5" t="s">
        <v>24</v>
      </c>
      <c r="Z110" s="5"/>
      <c r="AA110" s="5"/>
      <c r="AB110" s="5">
        <v>34</v>
      </c>
      <c r="AC110" s="5"/>
      <c r="AD110" s="5"/>
      <c r="AE110" s="5"/>
      <c r="AF110" s="5"/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2">
      <c r="A111" s="5" t="str">
        <f>[1]Column!$C111&amp;"_"&amp;[1]Column!$G111</f>
        <v>Registrations_Invitingflg</v>
      </c>
      <c r="B111" s="5" t="s">
        <v>848</v>
      </c>
      <c r="C111" s="5" t="s">
        <v>832</v>
      </c>
      <c r="D111" s="5"/>
      <c r="E111" s="5"/>
      <c r="F111" s="5" t="s">
        <v>833</v>
      </c>
      <c r="G111" s="5" t="s">
        <v>849</v>
      </c>
      <c r="H111" s="11" t="s">
        <v>850</v>
      </c>
      <c r="I111" s="5">
        <v>109</v>
      </c>
      <c r="J111" s="5">
        <v>109</v>
      </c>
      <c r="K111" s="5"/>
      <c r="L111" s="5"/>
      <c r="M111" s="5">
        <v>109</v>
      </c>
      <c r="N111" s="5">
        <v>1</v>
      </c>
      <c r="O111" s="5">
        <v>109</v>
      </c>
      <c r="P111" s="5">
        <v>1</v>
      </c>
      <c r="Q111" s="5">
        <v>109</v>
      </c>
      <c r="R111" s="5">
        <v>1</v>
      </c>
      <c r="S111" s="5"/>
      <c r="T111" s="5">
        <v>109</v>
      </c>
      <c r="U111" s="5"/>
      <c r="V111" s="5">
        <v>109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5">
        <v>1</v>
      </c>
      <c r="CD111" s="5"/>
      <c r="CE111" s="7"/>
      <c r="CF111" s="5"/>
      <c r="CG111" s="7"/>
      <c r="CH111" s="7"/>
      <c r="CI111" s="8" t="s">
        <v>851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2">
      <c r="A112" s="5" t="str">
        <f>[1]Column!$C112&amp;"_"&amp;[1]Column!$G112</f>
        <v>Registrations_UserId</v>
      </c>
      <c r="B112" s="5" t="s">
        <v>831</v>
      </c>
      <c r="C112" s="5" t="s">
        <v>832</v>
      </c>
      <c r="D112" s="5"/>
      <c r="E112" s="5"/>
      <c r="F112" s="5" t="s">
        <v>833</v>
      </c>
      <c r="G112" s="5" t="s">
        <v>104</v>
      </c>
      <c r="H112" s="5" t="s">
        <v>685</v>
      </c>
      <c r="I112" s="5">
        <v>110</v>
      </c>
      <c r="J112" s="5">
        <v>110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110</v>
      </c>
      <c r="U112" s="5"/>
      <c r="V112" s="5">
        <v>110</v>
      </c>
      <c r="W112" s="5"/>
      <c r="X112" s="5"/>
      <c r="Y112" s="5" t="s">
        <v>1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2">
      <c r="A113" s="5" t="str">
        <f>[1]Column!$C113&amp;"_"&amp;[1]Column!$G113</f>
        <v>Registrations_DeptId</v>
      </c>
      <c r="B113" s="5" t="s">
        <v>831</v>
      </c>
      <c r="C113" s="5" t="s">
        <v>832</v>
      </c>
      <c r="D113" s="5"/>
      <c r="E113" s="5"/>
      <c r="F113" s="5" t="s">
        <v>833</v>
      </c>
      <c r="G113" s="5" t="s">
        <v>103</v>
      </c>
      <c r="H113" s="5" t="s">
        <v>234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>
        <v>0</v>
      </c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7"/>
      <c r="CD113" s="7"/>
      <c r="CE113" s="7"/>
      <c r="CF113" s="7"/>
      <c r="CG113" s="7"/>
      <c r="CH113" s="7"/>
      <c r="CI113" s="6"/>
      <c r="CJ113" s="6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2">
      <c r="A114" s="5" t="str">
        <f>[1]Column!$C114&amp;"_"&amp;[1]Column!$G114</f>
        <v>Registrations_GroupId</v>
      </c>
      <c r="B114" s="5" t="s">
        <v>831</v>
      </c>
      <c r="C114" s="5" t="s">
        <v>832</v>
      </c>
      <c r="D114" s="5"/>
      <c r="E114" s="5"/>
      <c r="F114" s="5" t="s">
        <v>833</v>
      </c>
      <c r="G114" s="5" t="s">
        <v>484</v>
      </c>
      <c r="H114" s="5" t="s">
        <v>683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2">
      <c r="A115" s="5" t="str">
        <f>Column!$C115&amp;"_"&amp;Column!$G115</f>
        <v>Users_TenantId</v>
      </c>
      <c r="B115" s="5" t="s">
        <v>28</v>
      </c>
      <c r="C115" s="5" t="s">
        <v>130</v>
      </c>
      <c r="D115" s="5"/>
      <c r="E115" s="5"/>
      <c r="F115" s="5" t="s">
        <v>233</v>
      </c>
      <c r="G115" s="5" t="s">
        <v>267</v>
      </c>
      <c r="H115" s="5" t="s">
        <v>631</v>
      </c>
      <c r="I115" s="5">
        <v>1</v>
      </c>
      <c r="J115" s="5">
        <v>1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</v>
      </c>
      <c r="U115" s="5"/>
      <c r="V115" s="5">
        <v>1</v>
      </c>
      <c r="W115" s="5"/>
      <c r="X115" s="5"/>
      <c r="Y115" s="5" t="s">
        <v>264</v>
      </c>
      <c r="Z115" s="5"/>
      <c r="AA115" s="5"/>
      <c r="AB115" s="5"/>
      <c r="AC115" s="5"/>
      <c r="AD115" s="5">
        <v>1</v>
      </c>
      <c r="AE115" s="5"/>
      <c r="AF115" s="5">
        <v>1</v>
      </c>
      <c r="AG115" s="5"/>
      <c r="AH115" s="5">
        <v>2</v>
      </c>
      <c r="AI115" s="5"/>
      <c r="AJ115" s="5">
        <v>2</v>
      </c>
      <c r="AK115" s="5"/>
      <c r="AL115" s="5">
        <v>2</v>
      </c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>
        <v>1</v>
      </c>
      <c r="BR115" s="5">
        <v>1</v>
      </c>
      <c r="BS115" s="5"/>
      <c r="BT115" s="5" t="s">
        <v>513</v>
      </c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</row>
    <row r="116" spans="1:109" x14ac:dyDescent="0.2">
      <c r="A116" s="5" t="str">
        <f>Column!$C116&amp;"_"&amp;Column!$G116</f>
        <v>Users_UserId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104</v>
      </c>
      <c r="H116" s="5" t="s">
        <v>685</v>
      </c>
      <c r="I116" s="5">
        <v>2</v>
      </c>
      <c r="J116" s="5">
        <v>2</v>
      </c>
      <c r="K116" s="5"/>
      <c r="L116" s="5"/>
      <c r="M116" s="5">
        <v>2</v>
      </c>
      <c r="N116" s="5">
        <v>1</v>
      </c>
      <c r="O116" s="5"/>
      <c r="P116" s="5"/>
      <c r="Q116" s="5">
        <v>2</v>
      </c>
      <c r="R116" s="5">
        <v>1</v>
      </c>
      <c r="S116" s="5"/>
      <c r="T116" s="5">
        <v>2</v>
      </c>
      <c r="U116" s="5"/>
      <c r="V116" s="5">
        <v>2</v>
      </c>
      <c r="W116" s="5"/>
      <c r="X116" s="5"/>
      <c r="Y116" s="5" t="s">
        <v>140</v>
      </c>
      <c r="Z116" s="5"/>
      <c r="AA116" s="5"/>
      <c r="AB116" s="5"/>
      <c r="AC116" s="5"/>
      <c r="AD116" s="5">
        <v>2</v>
      </c>
      <c r="AE116" s="5"/>
      <c r="AF116" s="5">
        <v>2</v>
      </c>
      <c r="AG116" s="5"/>
      <c r="AH116" s="5">
        <v>1</v>
      </c>
      <c r="AI116" s="5"/>
      <c r="AJ116" s="5">
        <v>3</v>
      </c>
      <c r="AK116" s="5"/>
      <c r="AL116" s="5">
        <v>3</v>
      </c>
      <c r="AM116" s="5"/>
      <c r="AN116" s="5"/>
      <c r="AO116" s="5"/>
      <c r="AP116" s="5"/>
      <c r="AQ116" s="5">
        <v>1</v>
      </c>
      <c r="AR116" s="5"/>
      <c r="AS116" s="5">
        <v>1</v>
      </c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 t="s">
        <v>512</v>
      </c>
      <c r="BU116" s="5"/>
      <c r="BV116" s="5"/>
      <c r="BW116" s="5"/>
      <c r="BX116" s="5"/>
      <c r="BY116" s="5"/>
      <c r="BZ116" s="5"/>
      <c r="CA116" s="5"/>
      <c r="CB116" s="5" t="s">
        <v>113</v>
      </c>
      <c r="CC116" s="5">
        <v>1</v>
      </c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2">
      <c r="A117" s="5" t="str">
        <f>Column!$C117&amp;"_"&amp;Column!$G117</f>
        <v>Users_LoginId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141</v>
      </c>
      <c r="H117" s="5" t="s">
        <v>687</v>
      </c>
      <c r="I117" s="5">
        <v>101</v>
      </c>
      <c r="J117" s="5">
        <v>101</v>
      </c>
      <c r="K117" s="5"/>
      <c r="L117" s="5"/>
      <c r="M117" s="5">
        <v>31</v>
      </c>
      <c r="N117" s="5">
        <v>1</v>
      </c>
      <c r="O117" s="5">
        <v>101</v>
      </c>
      <c r="P117" s="5">
        <v>1</v>
      </c>
      <c r="Q117" s="5">
        <v>101</v>
      </c>
      <c r="R117" s="5">
        <v>1</v>
      </c>
      <c r="S117" s="5"/>
      <c r="T117" s="5">
        <v>101</v>
      </c>
      <c r="U117" s="5"/>
      <c r="V117" s="5">
        <v>101</v>
      </c>
      <c r="W117" s="5"/>
      <c r="X117" s="5"/>
      <c r="Y117" s="5" t="s">
        <v>3</v>
      </c>
      <c r="Z117" s="5"/>
      <c r="AA117" s="5"/>
      <c r="AB117" s="5">
        <v>256</v>
      </c>
      <c r="AC117" s="5"/>
      <c r="AD117" s="5"/>
      <c r="AE117" s="5"/>
      <c r="AF117" s="5"/>
      <c r="AG117" s="5"/>
      <c r="AH117" s="5"/>
      <c r="AI117" s="5"/>
      <c r="AJ117" s="5">
        <v>1</v>
      </c>
      <c r="AK117" s="5"/>
      <c r="AL117" s="5"/>
      <c r="AM117" s="5"/>
      <c r="AN117" s="5"/>
      <c r="AO117" s="5"/>
      <c r="AP117" s="5"/>
      <c r="AQ117" s="5"/>
      <c r="AR117" s="5">
        <v>1</v>
      </c>
      <c r="AS117" s="5"/>
      <c r="AT117" s="5"/>
      <c r="AU117" s="5"/>
      <c r="AV117" s="5"/>
      <c r="AW117" s="5">
        <v>1</v>
      </c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275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>
        <v>1</v>
      </c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2">
      <c r="A118" s="5" t="str">
        <f>Column!$C118&amp;"_"&amp;Column!$G118</f>
        <v>Users_GlobalId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539</v>
      </c>
      <c r="H118" s="5" t="s">
        <v>688</v>
      </c>
      <c r="I118" s="5">
        <v>102</v>
      </c>
      <c r="J118" s="5">
        <v>102</v>
      </c>
      <c r="K118" s="5"/>
      <c r="L118" s="5"/>
      <c r="M118" s="5"/>
      <c r="N118" s="5"/>
      <c r="O118" s="5"/>
      <c r="P118" s="5"/>
      <c r="Q118" s="5"/>
      <c r="R118" s="5"/>
      <c r="S118" s="5"/>
      <c r="T118" s="5">
        <v>102</v>
      </c>
      <c r="U118" s="5"/>
      <c r="V118" s="5">
        <v>102</v>
      </c>
      <c r="W118" s="5"/>
      <c r="X118" s="5"/>
      <c r="Y118" s="5" t="s">
        <v>3</v>
      </c>
      <c r="Z118" s="5"/>
      <c r="AA118" s="5"/>
      <c r="AB118" s="5">
        <v>36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2">
      <c r="A119" s="5" t="str">
        <f>Column!$C119&amp;"_"&amp;Column!$G119</f>
        <v>Users_Name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532</v>
      </c>
      <c r="H119" s="5" t="s">
        <v>689</v>
      </c>
      <c r="I119" s="5">
        <v>103</v>
      </c>
      <c r="J119" s="5">
        <v>103</v>
      </c>
      <c r="K119" s="5"/>
      <c r="L119" s="5"/>
      <c r="M119" s="5">
        <v>32</v>
      </c>
      <c r="N119" s="5">
        <v>1</v>
      </c>
      <c r="O119" s="5">
        <v>103</v>
      </c>
      <c r="P119" s="5">
        <v>1</v>
      </c>
      <c r="Q119" s="5">
        <v>103</v>
      </c>
      <c r="R119" s="5">
        <v>1</v>
      </c>
      <c r="S119" s="5"/>
      <c r="T119" s="5">
        <v>103</v>
      </c>
      <c r="U119" s="5"/>
      <c r="V119" s="5">
        <v>103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>
        <v>1</v>
      </c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2">
      <c r="A120" s="5" t="str">
        <f>Column!$C120&amp;"_"&amp;Column!$G120</f>
        <v>Users_UserCode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360</v>
      </c>
      <c r="H120" s="5" t="s">
        <v>690</v>
      </c>
      <c r="I120" s="5">
        <v>104</v>
      </c>
      <c r="J120" s="5">
        <v>104</v>
      </c>
      <c r="K120" s="5"/>
      <c r="L120" s="5"/>
      <c r="M120" s="5">
        <v>104</v>
      </c>
      <c r="N120" s="5">
        <v>1</v>
      </c>
      <c r="O120" s="5">
        <v>104</v>
      </c>
      <c r="P120" s="5">
        <v>1</v>
      </c>
      <c r="Q120" s="5">
        <v>104</v>
      </c>
      <c r="R120" s="5">
        <v>1</v>
      </c>
      <c r="S120" s="5"/>
      <c r="T120" s="5">
        <v>104</v>
      </c>
      <c r="U120" s="5"/>
      <c r="V120" s="5">
        <v>104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7"/>
      <c r="CC120" s="7"/>
      <c r="CD120" s="7"/>
      <c r="CE120" s="7"/>
      <c r="CF120" s="7"/>
      <c r="CG120" s="7"/>
      <c r="CH120" s="7"/>
      <c r="CI120" s="8"/>
      <c r="CJ120" s="8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2">
      <c r="A121" s="5" t="str">
        <f>Column!$C121&amp;"_"&amp;Column!$G121</f>
        <v>Users_Password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25</v>
      </c>
      <c r="H121" s="5" t="s">
        <v>691</v>
      </c>
      <c r="I121" s="5">
        <v>105</v>
      </c>
      <c r="J121" s="5">
        <v>105</v>
      </c>
      <c r="K121" s="5"/>
      <c r="L121" s="5"/>
      <c r="M121" s="5"/>
      <c r="N121" s="5"/>
      <c r="O121" s="5"/>
      <c r="P121" s="5"/>
      <c r="Q121" s="5">
        <v>105</v>
      </c>
      <c r="R121" s="5">
        <v>1</v>
      </c>
      <c r="S121" s="5"/>
      <c r="T121" s="5">
        <v>105</v>
      </c>
      <c r="U121" s="5"/>
      <c r="V121" s="5">
        <v>105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 t="s">
        <v>509</v>
      </c>
      <c r="BB121" s="5"/>
      <c r="BC121" s="5" t="s">
        <v>509</v>
      </c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>
        <v>1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2">
      <c r="A122" s="5" t="str">
        <f>Column!$C122&amp;"_"&amp;Column!$G122</f>
        <v>Users_PasswordValidate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298</v>
      </c>
      <c r="H122" s="5" t="s">
        <v>692</v>
      </c>
      <c r="I122" s="5">
        <v>106</v>
      </c>
      <c r="J122" s="5">
        <v>106</v>
      </c>
      <c r="K122" s="5"/>
      <c r="L122" s="5"/>
      <c r="M122" s="5"/>
      <c r="N122" s="5"/>
      <c r="O122" s="5"/>
      <c r="P122" s="5"/>
      <c r="Q122" s="5">
        <v>106</v>
      </c>
      <c r="R122" s="5">
        <v>1</v>
      </c>
      <c r="S122" s="5"/>
      <c r="T122" s="5">
        <v>106</v>
      </c>
      <c r="U122" s="5"/>
      <c r="V122" s="5">
        <v>106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/>
      <c r="BA122" s="5" t="s">
        <v>509</v>
      </c>
      <c r="BB122" s="5"/>
      <c r="BC122" s="5" t="s">
        <v>509</v>
      </c>
      <c r="BD122" s="5"/>
      <c r="BE122" s="5"/>
      <c r="BF122" s="5"/>
      <c r="BG122" s="5">
        <v>1</v>
      </c>
      <c r="BH122" s="5">
        <v>1</v>
      </c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 t="s">
        <v>512</v>
      </c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 t="s">
        <v>471</v>
      </c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2">
      <c r="A123" s="5" t="str">
        <f>Column!$C123&amp;"_"&amp;Column!$G123</f>
        <v>Users_PasswordDummy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299</v>
      </c>
      <c r="H123" s="5" t="s">
        <v>693</v>
      </c>
      <c r="I123" s="5">
        <v>107</v>
      </c>
      <c r="J123" s="5">
        <v>107</v>
      </c>
      <c r="K123" s="5"/>
      <c r="L123" s="5"/>
      <c r="M123" s="5"/>
      <c r="N123" s="5"/>
      <c r="O123" s="5"/>
      <c r="P123" s="5"/>
      <c r="Q123" s="5">
        <v>107</v>
      </c>
      <c r="R123" s="5">
        <v>1</v>
      </c>
      <c r="S123" s="5"/>
      <c r="T123" s="5">
        <v>107</v>
      </c>
      <c r="U123" s="5"/>
      <c r="V123" s="5">
        <v>107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509</v>
      </c>
      <c r="BB123" s="5" t="s">
        <v>509</v>
      </c>
      <c r="BC123" s="5" t="s">
        <v>509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 t="s">
        <v>354</v>
      </c>
      <c r="BT123" s="5" t="s">
        <v>512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2">
      <c r="A124" s="5" t="str">
        <f>Column!$C124&amp;"_"&amp;Column!$G124</f>
        <v>Users_RememberMe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295</v>
      </c>
      <c r="H124" s="5" t="s">
        <v>694</v>
      </c>
      <c r="I124" s="5">
        <v>108</v>
      </c>
      <c r="J124" s="5">
        <v>108</v>
      </c>
      <c r="K124" s="5"/>
      <c r="L124" s="5"/>
      <c r="M124" s="5"/>
      <c r="N124" s="5"/>
      <c r="O124" s="5"/>
      <c r="P124" s="5"/>
      <c r="Q124" s="5">
        <v>108</v>
      </c>
      <c r="R124" s="5"/>
      <c r="S124" s="5"/>
      <c r="T124" s="5">
        <v>108</v>
      </c>
      <c r="U124" s="5"/>
      <c r="V124" s="5">
        <v>108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509</v>
      </c>
      <c r="BB124" s="5" t="s">
        <v>509</v>
      </c>
      <c r="BC124" s="5" t="s">
        <v>509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2">
      <c r="A125" s="5" t="str">
        <f>Column!$C125&amp;"_"&amp;Column!$G125</f>
        <v>Users_LastName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7</v>
      </c>
      <c r="H125" s="5" t="s">
        <v>695</v>
      </c>
      <c r="I125" s="5">
        <v>109</v>
      </c>
      <c r="J125" s="5">
        <v>109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109</v>
      </c>
      <c r="U125" s="5"/>
      <c r="V125" s="5">
        <v>109</v>
      </c>
      <c r="W125" s="5"/>
      <c r="X125" s="5"/>
      <c r="Y125" s="5" t="s">
        <v>3</v>
      </c>
      <c r="Z125" s="5"/>
      <c r="AA125" s="5"/>
      <c r="AB125" s="5">
        <v>32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509</v>
      </c>
      <c r="BB125" s="5" t="s">
        <v>509</v>
      </c>
      <c r="BC125" s="5" t="s">
        <v>509</v>
      </c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2">
      <c r="A126" s="5" t="str">
        <f>Column!$C126&amp;"_"&amp;Column!$G126</f>
        <v>Users_FirstName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6</v>
      </c>
      <c r="H126" s="5" t="s">
        <v>696</v>
      </c>
      <c r="I126" s="5">
        <v>110</v>
      </c>
      <c r="J126" s="5">
        <v>110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110</v>
      </c>
      <c r="U126" s="5"/>
      <c r="V126" s="5">
        <v>110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509</v>
      </c>
      <c r="BB126" s="5" t="s">
        <v>509</v>
      </c>
      <c r="BC126" s="5" t="s">
        <v>509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2">
      <c r="A127" s="5" t="str">
        <f>Column!$C127&amp;"_"&amp;Column!$G127</f>
        <v>Users_Birthday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10</v>
      </c>
      <c r="H127" s="5" t="s">
        <v>697</v>
      </c>
      <c r="I127" s="5">
        <v>111</v>
      </c>
      <c r="J127" s="5">
        <v>111</v>
      </c>
      <c r="K127" s="5"/>
      <c r="L127" s="5"/>
      <c r="M127" s="5">
        <v>111</v>
      </c>
      <c r="N127" s="5">
        <v>1</v>
      </c>
      <c r="O127" s="5"/>
      <c r="P127" s="5"/>
      <c r="Q127" s="5">
        <v>111</v>
      </c>
      <c r="R127" s="5">
        <v>1</v>
      </c>
      <c r="S127" s="5"/>
      <c r="T127" s="5">
        <v>111</v>
      </c>
      <c r="U127" s="5"/>
      <c r="V127" s="5">
        <v>111</v>
      </c>
      <c r="W127" s="5"/>
      <c r="X127" s="5"/>
      <c r="Y127" s="5" t="s">
        <v>8</v>
      </c>
      <c r="Z127" s="5" t="s">
        <v>205</v>
      </c>
      <c r="AA127" s="5" t="s">
        <v>204</v>
      </c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9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 t="s">
        <v>331</v>
      </c>
      <c r="CE127" s="5" t="s">
        <v>331</v>
      </c>
      <c r="CF127" s="5" t="s">
        <v>331</v>
      </c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2">
      <c r="A128" s="5" t="str">
        <f>Column!$C128&amp;"_"&amp;Column!$G128</f>
        <v>Users_Gender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462</v>
      </c>
      <c r="H128" s="5" t="s">
        <v>698</v>
      </c>
      <c r="I128" s="5">
        <v>112</v>
      </c>
      <c r="J128" s="5">
        <v>112</v>
      </c>
      <c r="K128" s="5"/>
      <c r="L128" s="5"/>
      <c r="M128" s="5">
        <v>112</v>
      </c>
      <c r="N128" s="5">
        <v>1</v>
      </c>
      <c r="O128" s="5">
        <v>112</v>
      </c>
      <c r="P128" s="5">
        <v>1</v>
      </c>
      <c r="Q128" s="5">
        <v>112</v>
      </c>
      <c r="R128" s="5">
        <v>1</v>
      </c>
      <c r="S128" s="5"/>
      <c r="T128" s="5">
        <v>112</v>
      </c>
      <c r="U128" s="5"/>
      <c r="V128" s="5">
        <v>112</v>
      </c>
      <c r="W128" s="5"/>
      <c r="X128" s="5"/>
      <c r="Y128" s="5" t="s">
        <v>3</v>
      </c>
      <c r="Z128" s="5"/>
      <c r="AA128" s="5"/>
      <c r="AB128" s="5">
        <v>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9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7" t="s">
        <v>257</v>
      </c>
      <c r="CC128" s="7"/>
      <c r="CD128" s="7"/>
      <c r="CE128" s="7"/>
      <c r="CF128" s="7"/>
      <c r="CG128" s="7"/>
      <c r="CH128" s="7"/>
      <c r="CI128" s="8" t="s">
        <v>274</v>
      </c>
      <c r="CJ128" s="8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 t="s">
        <v>463</v>
      </c>
      <c r="DE128" s="5"/>
    </row>
    <row r="129" spans="1:109" x14ac:dyDescent="0.2">
      <c r="A129" s="5" t="str">
        <f>Column!$C129&amp;"_"&amp;Column!$G129</f>
        <v>Users_Language</v>
      </c>
      <c r="B129" s="6" t="s">
        <v>334</v>
      </c>
      <c r="C129" s="5" t="s">
        <v>130</v>
      </c>
      <c r="D129" s="5"/>
      <c r="E129" s="5"/>
      <c r="F129" s="5" t="s">
        <v>233</v>
      </c>
      <c r="G129" s="5" t="s">
        <v>11</v>
      </c>
      <c r="H129" s="5" t="s">
        <v>699</v>
      </c>
      <c r="I129" s="5">
        <v>113</v>
      </c>
      <c r="J129" s="5">
        <v>113</v>
      </c>
      <c r="K129" s="5"/>
      <c r="L129" s="5"/>
      <c r="M129" s="5">
        <v>113</v>
      </c>
      <c r="N129" s="5">
        <v>1</v>
      </c>
      <c r="O129" s="5">
        <v>113</v>
      </c>
      <c r="P129" s="5">
        <v>1</v>
      </c>
      <c r="Q129" s="5">
        <v>113</v>
      </c>
      <c r="R129" s="5">
        <v>1</v>
      </c>
      <c r="S129" s="5"/>
      <c r="T129" s="5">
        <v>113</v>
      </c>
      <c r="U129" s="5"/>
      <c r="V129" s="5">
        <v>113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 t="s">
        <v>333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257</v>
      </c>
      <c r="CC129" s="7"/>
      <c r="CD129" s="7"/>
      <c r="CE129" s="7"/>
      <c r="CF129" s="7"/>
      <c r="CG129" s="7"/>
      <c r="CH129" s="7"/>
      <c r="CI129" s="8" t="s">
        <v>335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</row>
    <row r="130" spans="1:109" x14ac:dyDescent="0.2">
      <c r="A130" s="5" t="str">
        <f>Column!$C130&amp;"_"&amp;Column!$G130</f>
        <v>Users_TimeZone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363</v>
      </c>
      <c r="H130" s="5" t="s">
        <v>700</v>
      </c>
      <c r="I130" s="5">
        <v>114</v>
      </c>
      <c r="J130" s="5">
        <v>114</v>
      </c>
      <c r="K130" s="5"/>
      <c r="L130" s="5"/>
      <c r="M130" s="5"/>
      <c r="N130" s="5"/>
      <c r="O130" s="5"/>
      <c r="P130" s="5"/>
      <c r="Q130" s="5">
        <v>114</v>
      </c>
      <c r="R130" s="5">
        <v>1</v>
      </c>
      <c r="S130" s="5"/>
      <c r="T130" s="5">
        <v>114</v>
      </c>
      <c r="U130" s="5"/>
      <c r="V130" s="5">
        <v>114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 t="s">
        <v>59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353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2">
      <c r="A131" s="5" t="str">
        <f>Column!$C131&amp;"_"&amp;Column!$G131</f>
        <v>Users_TimeZoneInfo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207</v>
      </c>
      <c r="H131" s="5" t="s">
        <v>700</v>
      </c>
      <c r="I131" s="5">
        <v>115</v>
      </c>
      <c r="J131" s="5">
        <v>115</v>
      </c>
      <c r="K131" s="5"/>
      <c r="L131" s="5"/>
      <c r="M131" s="5">
        <v>115</v>
      </c>
      <c r="N131" s="5">
        <v>1</v>
      </c>
      <c r="O131" s="5">
        <v>115</v>
      </c>
      <c r="P131" s="5">
        <v>1</v>
      </c>
      <c r="Q131" s="5"/>
      <c r="R131" s="5"/>
      <c r="S131" s="5"/>
      <c r="T131" s="5">
        <v>115</v>
      </c>
      <c r="U131" s="5"/>
      <c r="V131" s="5">
        <v>115</v>
      </c>
      <c r="W131" s="5"/>
      <c r="X131" s="5"/>
      <c r="Y131" s="5" t="s">
        <v>208</v>
      </c>
      <c r="Z131" s="5" t="s">
        <v>208</v>
      </c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>
        <v>1</v>
      </c>
      <c r="BH131" s="5">
        <v>1</v>
      </c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 t="s">
        <v>209</v>
      </c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2">
      <c r="A132" s="5" t="str">
        <f>Column!$C132&amp;"_"&amp;Column!$G132</f>
        <v>Users_DeptCode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593</v>
      </c>
      <c r="H132" s="5" t="s">
        <v>680</v>
      </c>
      <c r="I132" s="5">
        <v>116</v>
      </c>
      <c r="J132" s="5">
        <v>116</v>
      </c>
      <c r="K132" s="5"/>
      <c r="L132" s="5"/>
      <c r="M132" s="5">
        <v>116</v>
      </c>
      <c r="N132" s="5">
        <v>1</v>
      </c>
      <c r="O132" s="5"/>
      <c r="P132" s="5"/>
      <c r="Q132" s="5"/>
      <c r="R132" s="5"/>
      <c r="S132" s="5"/>
      <c r="T132" s="5">
        <v>116</v>
      </c>
      <c r="U132" s="5"/>
      <c r="V132" s="5">
        <v>116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 t="s">
        <v>129</v>
      </c>
      <c r="AU132" s="5" t="s">
        <v>212</v>
      </c>
      <c r="AV132" s="5" t="s">
        <v>594</v>
      </c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2">
      <c r="A133" s="5" t="str">
        <f>Column!$C133&amp;"_"&amp;Column!$G133</f>
        <v>Users_DeptId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105</v>
      </c>
      <c r="H133" s="5" t="s">
        <v>234</v>
      </c>
      <c r="I133" s="5">
        <v>117</v>
      </c>
      <c r="J133" s="5">
        <v>117</v>
      </c>
      <c r="K133" s="5"/>
      <c r="L133" s="5"/>
      <c r="M133" s="5"/>
      <c r="N133" s="5"/>
      <c r="O133" s="5">
        <v>117</v>
      </c>
      <c r="P133" s="5">
        <v>1</v>
      </c>
      <c r="Q133" s="5">
        <v>117</v>
      </c>
      <c r="R133" s="5">
        <v>1</v>
      </c>
      <c r="S133" s="5"/>
      <c r="T133" s="5">
        <v>117</v>
      </c>
      <c r="U133" s="5"/>
      <c r="V133" s="5">
        <v>117</v>
      </c>
      <c r="W133" s="5"/>
      <c r="X133" s="5"/>
      <c r="Y133" s="5" t="s">
        <v>140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 t="s">
        <v>510</v>
      </c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7" t="s">
        <v>257</v>
      </c>
      <c r="CC133" s="7"/>
      <c r="CD133" s="7"/>
      <c r="CE133" s="7"/>
      <c r="CF133" s="7"/>
      <c r="CG133" s="7"/>
      <c r="CH133" s="7"/>
      <c r="CI133" s="6" t="s">
        <v>352</v>
      </c>
      <c r="CJ133" s="6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2">
      <c r="A134" s="5" t="str">
        <f>Column!$C134&amp;"_"&amp;Column!$G134</f>
        <v>Users_Dept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262</v>
      </c>
      <c r="H134" s="5" t="s">
        <v>234</v>
      </c>
      <c r="I134" s="5">
        <v>118</v>
      </c>
      <c r="J134" s="5">
        <v>118</v>
      </c>
      <c r="K134" s="5"/>
      <c r="L134" s="5"/>
      <c r="M134" s="5">
        <v>118</v>
      </c>
      <c r="N134" s="5">
        <v>1</v>
      </c>
      <c r="O134" s="5">
        <v>118</v>
      </c>
      <c r="P134" s="5">
        <v>1</v>
      </c>
      <c r="Q134" s="5"/>
      <c r="R134" s="5"/>
      <c r="S134" s="5"/>
      <c r="T134" s="5">
        <v>118</v>
      </c>
      <c r="U134" s="5"/>
      <c r="V134" s="5">
        <v>118</v>
      </c>
      <c r="W134" s="5"/>
      <c r="X134" s="5"/>
      <c r="Y134" s="5" t="s">
        <v>262</v>
      </c>
      <c r="Z134" s="5" t="s">
        <v>262</v>
      </c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 t="s">
        <v>498</v>
      </c>
      <c r="BO134" s="5" t="s">
        <v>498</v>
      </c>
      <c r="BP134" s="5"/>
      <c r="BQ134" s="5"/>
      <c r="BR134" s="5"/>
      <c r="BS134" s="5"/>
      <c r="BT134" s="5"/>
      <c r="BU134" s="5"/>
      <c r="BV134" s="5"/>
      <c r="BW134" s="5" t="s">
        <v>608</v>
      </c>
      <c r="BX134" s="5"/>
      <c r="BY134" s="5"/>
      <c r="BZ134" s="5"/>
      <c r="CA134" s="5"/>
      <c r="CB134" s="7"/>
      <c r="CC134" s="7"/>
      <c r="CD134" s="7"/>
      <c r="CE134" s="7"/>
      <c r="CF134" s="7"/>
      <c r="CG134" s="7"/>
      <c r="CH134" s="7"/>
      <c r="CI134" s="6"/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2">
      <c r="A135" s="5" t="str">
        <f>Column!$C135&amp;"_"&amp;Column!$G135</f>
        <v>Users_FirstAndLastNameOrder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193</v>
      </c>
      <c r="H135" s="5" t="s">
        <v>701</v>
      </c>
      <c r="I135" s="5">
        <v>119</v>
      </c>
      <c r="J135" s="5">
        <v>119</v>
      </c>
      <c r="K135" s="5"/>
      <c r="L135" s="5"/>
      <c r="M135" s="5"/>
      <c r="N135" s="5"/>
      <c r="O135" s="5">
        <v>119</v>
      </c>
      <c r="P135" s="5">
        <v>1</v>
      </c>
      <c r="Q135" s="5"/>
      <c r="R135" s="5"/>
      <c r="S135" s="5"/>
      <c r="T135" s="5">
        <v>119</v>
      </c>
      <c r="U135" s="5"/>
      <c r="V135" s="5">
        <v>119</v>
      </c>
      <c r="W135" s="5"/>
      <c r="X135" s="5"/>
      <c r="Y135" s="5" t="s">
        <v>194</v>
      </c>
      <c r="Z135" s="5" t="s">
        <v>195</v>
      </c>
      <c r="AA135" s="5" t="s">
        <v>196</v>
      </c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2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 t="s">
        <v>509</v>
      </c>
      <c r="BB135" s="5" t="s">
        <v>509</v>
      </c>
      <c r="BC135" s="5" t="s">
        <v>509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>
        <v>1</v>
      </c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474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2">
      <c r="A136" s="5" t="str">
        <f>Column!$C136&amp;"_"&amp;Column!$G136</f>
        <v>Users_Title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251</v>
      </c>
      <c r="H136" s="5" t="s">
        <v>621</v>
      </c>
      <c r="I136" s="5">
        <v>120</v>
      </c>
      <c r="J136" s="5">
        <v>120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120</v>
      </c>
      <c r="U136" s="5"/>
      <c r="V136" s="5">
        <v>120</v>
      </c>
      <c r="W136" s="5"/>
      <c r="X136" s="5"/>
      <c r="Y136" s="5" t="s">
        <v>68</v>
      </c>
      <c r="Z136" s="5" t="s">
        <v>206</v>
      </c>
      <c r="AA136" s="5" t="s">
        <v>204</v>
      </c>
      <c r="AB136" s="5">
        <v>1024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>
        <v>1</v>
      </c>
      <c r="BH136" s="5">
        <v>1</v>
      </c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533</v>
      </c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2">
      <c r="A137" s="5" t="str">
        <f>Column!$C137&amp;"_"&amp;Column!$G137</f>
        <v>Users_Body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</v>
      </c>
      <c r="H137" s="5" t="s">
        <v>682</v>
      </c>
      <c r="I137" s="5">
        <v>121</v>
      </c>
      <c r="J137" s="5">
        <v>121</v>
      </c>
      <c r="K137" s="5"/>
      <c r="L137" s="5"/>
      <c r="M137" s="5">
        <v>121</v>
      </c>
      <c r="N137" s="5">
        <v>1</v>
      </c>
      <c r="O137" s="5">
        <v>120</v>
      </c>
      <c r="P137" s="5">
        <v>1</v>
      </c>
      <c r="Q137" s="5">
        <v>121</v>
      </c>
      <c r="R137" s="5">
        <v>1</v>
      </c>
      <c r="S137" s="5"/>
      <c r="T137" s="5">
        <v>121</v>
      </c>
      <c r="U137" s="5"/>
      <c r="V137" s="5">
        <v>121</v>
      </c>
      <c r="W137" s="5"/>
      <c r="X137" s="5"/>
      <c r="Y137" s="5" t="s">
        <v>68</v>
      </c>
      <c r="Z137" s="5"/>
      <c r="AA137" s="5"/>
      <c r="AB137" s="5">
        <v>-1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>
        <v>1</v>
      </c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 t="s">
        <v>583</v>
      </c>
      <c r="BT137" s="5"/>
      <c r="BU137" s="5"/>
      <c r="BV137" s="5"/>
      <c r="BW137" s="5"/>
      <c r="BX137" s="5"/>
      <c r="BY137" s="5"/>
      <c r="BZ137" s="5"/>
      <c r="CA137" s="5"/>
      <c r="CB137" s="5" t="s">
        <v>557</v>
      </c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2">
      <c r="A138" s="5" t="str">
        <f>Column!$C138&amp;"_"&amp;Column!$G138</f>
        <v>Users_LastLoginTime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150</v>
      </c>
      <c r="H138" s="5" t="s">
        <v>702</v>
      </c>
      <c r="I138" s="5">
        <v>122</v>
      </c>
      <c r="J138" s="5">
        <v>122</v>
      </c>
      <c r="K138" s="5"/>
      <c r="L138" s="5"/>
      <c r="M138" s="5">
        <v>122</v>
      </c>
      <c r="N138" s="5">
        <v>1</v>
      </c>
      <c r="O138" s="5"/>
      <c r="P138" s="5"/>
      <c r="Q138" s="5">
        <v>122</v>
      </c>
      <c r="R138" s="5">
        <v>1</v>
      </c>
      <c r="S138" s="5"/>
      <c r="T138" s="5">
        <v>122</v>
      </c>
      <c r="U138" s="5"/>
      <c r="V138" s="5">
        <v>122</v>
      </c>
      <c r="W138" s="5"/>
      <c r="X138" s="5"/>
      <c r="Y138" s="5" t="s">
        <v>8</v>
      </c>
      <c r="Z138" s="5" t="s">
        <v>205</v>
      </c>
      <c r="AA138" s="5" t="s">
        <v>204</v>
      </c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 t="s">
        <v>510</v>
      </c>
      <c r="BB138" s="5" t="s">
        <v>509</v>
      </c>
      <c r="BC138" s="5" t="s">
        <v>509</v>
      </c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 t="s">
        <v>426</v>
      </c>
      <c r="CE138" s="5" t="s">
        <v>426</v>
      </c>
      <c r="CF138" s="5" t="s">
        <v>426</v>
      </c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2">
      <c r="A139" s="5" t="str">
        <f>Column!$C139&amp;"_"&amp;Column!$G139</f>
        <v>Users_PasswordExpirationTime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427</v>
      </c>
      <c r="H139" s="5" t="s">
        <v>703</v>
      </c>
      <c r="I139" s="5">
        <v>123</v>
      </c>
      <c r="J139" s="5">
        <v>123</v>
      </c>
      <c r="K139" s="5"/>
      <c r="L139" s="5"/>
      <c r="M139" s="5">
        <v>123</v>
      </c>
      <c r="N139" s="5">
        <v>1</v>
      </c>
      <c r="O139" s="5"/>
      <c r="P139" s="5"/>
      <c r="Q139" s="5">
        <v>123</v>
      </c>
      <c r="R139" s="5">
        <v>1</v>
      </c>
      <c r="S139" s="5"/>
      <c r="T139" s="5">
        <v>123</v>
      </c>
      <c r="U139" s="5"/>
      <c r="V139" s="5">
        <v>123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510</v>
      </c>
      <c r="BB139" s="5" t="s">
        <v>510</v>
      </c>
      <c r="BC139" s="5" t="s">
        <v>510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371</v>
      </c>
      <c r="CE139" s="5" t="s">
        <v>371</v>
      </c>
      <c r="CF139" s="5" t="s">
        <v>371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2">
      <c r="A140" s="5" t="str">
        <f>Column!$C140&amp;"_"&amp;Column!$G140</f>
        <v>Users_PasswordChangeTime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287</v>
      </c>
      <c r="H140" s="5" t="s">
        <v>704</v>
      </c>
      <c r="I140" s="5">
        <v>124</v>
      </c>
      <c r="J140" s="5">
        <v>124</v>
      </c>
      <c r="K140" s="5"/>
      <c r="L140" s="5"/>
      <c r="M140" s="5">
        <v>124</v>
      </c>
      <c r="N140" s="5">
        <v>1</v>
      </c>
      <c r="O140" s="5"/>
      <c r="P140" s="5"/>
      <c r="Q140" s="5">
        <v>124</v>
      </c>
      <c r="R140" s="5">
        <v>1</v>
      </c>
      <c r="S140" s="5"/>
      <c r="T140" s="5">
        <v>124</v>
      </c>
      <c r="U140" s="5"/>
      <c r="V140" s="5">
        <v>124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510</v>
      </c>
      <c r="BB140" s="5" t="s">
        <v>509</v>
      </c>
      <c r="BC140" s="5" t="s">
        <v>509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371</v>
      </c>
      <c r="CE140" s="5" t="s">
        <v>371</v>
      </c>
      <c r="CF140" s="5" t="s">
        <v>371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2">
      <c r="A141" s="5" t="str">
        <f>Column!$C141&amp;"_"&amp;Column!$G141</f>
        <v>Users_NumberOfLogins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285</v>
      </c>
      <c r="H141" s="5" t="s">
        <v>705</v>
      </c>
      <c r="I141" s="5">
        <v>125</v>
      </c>
      <c r="J141" s="5">
        <v>125</v>
      </c>
      <c r="K141" s="5"/>
      <c r="L141" s="5"/>
      <c r="M141" s="5">
        <v>125</v>
      </c>
      <c r="N141" s="5">
        <v>1</v>
      </c>
      <c r="O141" s="5"/>
      <c r="P141" s="5"/>
      <c r="Q141" s="5">
        <v>125</v>
      </c>
      <c r="R141" s="5">
        <v>1</v>
      </c>
      <c r="S141" s="5"/>
      <c r="T141" s="5">
        <v>125</v>
      </c>
      <c r="U141" s="5"/>
      <c r="V141" s="5">
        <v>125</v>
      </c>
      <c r="W141" s="5"/>
      <c r="X141" s="5"/>
      <c r="Y141" s="5" t="s">
        <v>1</v>
      </c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>
        <v>0</v>
      </c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510</v>
      </c>
      <c r="BB141" s="5" t="s">
        <v>509</v>
      </c>
      <c r="BC141" s="5" t="s">
        <v>509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2">
      <c r="A142" s="5" t="str">
        <f>Column!$C142&amp;"_"&amp;Column!$G142</f>
        <v>Users_NumberOfDenial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286</v>
      </c>
      <c r="H142" s="5" t="s">
        <v>706</v>
      </c>
      <c r="I142" s="5">
        <v>126</v>
      </c>
      <c r="J142" s="5">
        <v>126</v>
      </c>
      <c r="K142" s="5"/>
      <c r="L142" s="5"/>
      <c r="M142" s="5">
        <v>126</v>
      </c>
      <c r="N142" s="5">
        <v>1</v>
      </c>
      <c r="O142" s="5"/>
      <c r="P142" s="5"/>
      <c r="Q142" s="5">
        <v>126</v>
      </c>
      <c r="R142" s="5">
        <v>1</v>
      </c>
      <c r="S142" s="5"/>
      <c r="T142" s="5">
        <v>126</v>
      </c>
      <c r="U142" s="5"/>
      <c r="V142" s="5">
        <v>126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510</v>
      </c>
      <c r="BB142" s="5" t="s">
        <v>509</v>
      </c>
      <c r="BC142" s="5" t="s">
        <v>509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2">
      <c r="A143" s="5" t="str">
        <f>Column!$C143&amp;"_"&amp;Column!$G143</f>
        <v>Users_TenantManager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507</v>
      </c>
      <c r="H143" s="5" t="s">
        <v>707</v>
      </c>
      <c r="I143" s="5">
        <v>127</v>
      </c>
      <c r="J143" s="5">
        <v>127</v>
      </c>
      <c r="K143" s="5"/>
      <c r="L143" s="5"/>
      <c r="M143" s="5">
        <v>127</v>
      </c>
      <c r="N143" s="5">
        <v>1</v>
      </c>
      <c r="O143" s="5">
        <v>127</v>
      </c>
      <c r="P143" s="5">
        <v>1</v>
      </c>
      <c r="Q143" s="5">
        <v>127</v>
      </c>
      <c r="R143" s="5">
        <v>1</v>
      </c>
      <c r="S143" s="5"/>
      <c r="T143" s="5">
        <v>127</v>
      </c>
      <c r="U143" s="5"/>
      <c r="V143" s="5">
        <v>127</v>
      </c>
      <c r="W143" s="5"/>
      <c r="X143" s="5"/>
      <c r="Y143" s="5" t="s">
        <v>9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 t="s">
        <v>510</v>
      </c>
      <c r="BB143" s="5" t="s">
        <v>510</v>
      </c>
      <c r="BC143" s="5" t="s">
        <v>510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 t="s">
        <v>270</v>
      </c>
      <c r="DE143" s="5"/>
    </row>
    <row r="144" spans="1:109" x14ac:dyDescent="0.2">
      <c r="A144" s="5" t="str">
        <f>Column!$C144&amp;"_"&amp;Column!$G144</f>
        <v>Users_ServiceManager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508</v>
      </c>
      <c r="H144" s="5" t="s">
        <v>708</v>
      </c>
      <c r="I144" s="5">
        <v>128</v>
      </c>
      <c r="J144" s="5">
        <v>128</v>
      </c>
      <c r="K144" s="5"/>
      <c r="L144" s="5"/>
      <c r="M144" s="5"/>
      <c r="N144" s="5"/>
      <c r="O144" s="5">
        <v>128</v>
      </c>
      <c r="P144" s="5">
        <v>1</v>
      </c>
      <c r="Q144" s="5"/>
      <c r="R144" s="5"/>
      <c r="S144" s="5"/>
      <c r="T144" s="5">
        <v>128</v>
      </c>
      <c r="U144" s="5"/>
      <c r="V144" s="5">
        <v>128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509</v>
      </c>
      <c r="BB144" s="5" t="s">
        <v>509</v>
      </c>
      <c r="BC144" s="5" t="s">
        <v>509</v>
      </c>
      <c r="BD144" s="5"/>
      <c r="BE144" s="5"/>
      <c r="BF144" s="5">
        <v>1</v>
      </c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301</v>
      </c>
      <c r="DE144" s="5"/>
    </row>
    <row r="145" spans="1:109" x14ac:dyDescent="0.2">
      <c r="A145" s="5" t="str">
        <f>Column!$C145&amp;"_"&amp;Column!$G145</f>
        <v>Users_Disabled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273</v>
      </c>
      <c r="H145" s="5" t="s">
        <v>709</v>
      </c>
      <c r="I145" s="5">
        <v>129</v>
      </c>
      <c r="J145" s="5">
        <v>129</v>
      </c>
      <c r="K145" s="5"/>
      <c r="L145" s="5"/>
      <c r="M145" s="5">
        <v>129</v>
      </c>
      <c r="N145" s="5">
        <v>1</v>
      </c>
      <c r="O145" s="5">
        <v>129</v>
      </c>
      <c r="P145" s="5">
        <v>1</v>
      </c>
      <c r="Q145" s="5">
        <v>129</v>
      </c>
      <c r="R145" s="5">
        <v>1</v>
      </c>
      <c r="S145" s="5"/>
      <c r="T145" s="5">
        <v>129</v>
      </c>
      <c r="U145" s="5"/>
      <c r="V145" s="5">
        <v>129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510</v>
      </c>
      <c r="BB145" s="5" t="s">
        <v>510</v>
      </c>
      <c r="BC145" s="5" t="s">
        <v>510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7" t="s">
        <v>257</v>
      </c>
      <c r="CC145" s="7"/>
      <c r="CD145" s="7"/>
      <c r="CE145" s="7"/>
      <c r="CF145" s="7"/>
      <c r="CG145" s="7"/>
      <c r="CH145" s="7"/>
      <c r="CI145" s="8" t="s">
        <v>276</v>
      </c>
      <c r="CJ145" s="8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</row>
    <row r="146" spans="1:109" x14ac:dyDescent="0.2">
      <c r="A146" s="5" t="str">
        <f>Column!$C146&amp;"_"&amp;Column!$G146</f>
        <v>Users_Lockout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787</v>
      </c>
      <c r="H146" s="5" t="s">
        <v>784</v>
      </c>
      <c r="I146" s="5">
        <v>130</v>
      </c>
      <c r="J146" s="5">
        <v>130</v>
      </c>
      <c r="K146" s="5"/>
      <c r="L146" s="5"/>
      <c r="M146" s="5">
        <v>130</v>
      </c>
      <c r="N146" s="5">
        <v>1</v>
      </c>
      <c r="O146" s="5">
        <v>130</v>
      </c>
      <c r="P146" s="5">
        <v>1</v>
      </c>
      <c r="Q146" s="5">
        <v>130</v>
      </c>
      <c r="R146" s="5">
        <v>1</v>
      </c>
      <c r="S146" s="5"/>
      <c r="T146" s="5">
        <v>130</v>
      </c>
      <c r="U146" s="5"/>
      <c r="V146" s="5">
        <v>130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 t="s">
        <v>510</v>
      </c>
      <c r="BB146" s="5" t="s">
        <v>510</v>
      </c>
      <c r="BC146" s="5" t="s">
        <v>510</v>
      </c>
      <c r="BD146" s="5"/>
      <c r="BE146" s="5"/>
      <c r="BF146" s="5"/>
      <c r="BG146" s="5"/>
      <c r="BH146" s="5"/>
      <c r="BI146" s="5" t="s">
        <v>816</v>
      </c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257</v>
      </c>
      <c r="CC146" s="7"/>
      <c r="CD146" s="7"/>
      <c r="CE146" s="7"/>
      <c r="CF146" s="7"/>
      <c r="CG146" s="7"/>
      <c r="CH146" s="7"/>
      <c r="CI146" s="8" t="s">
        <v>786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2">
      <c r="A147" s="5" t="str">
        <f>Column!$C147&amp;"_"&amp;Column!$G147</f>
        <v>Users_LockoutCounter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788</v>
      </c>
      <c r="H147" s="5" t="s">
        <v>785</v>
      </c>
      <c r="I147" s="5">
        <v>131</v>
      </c>
      <c r="J147" s="5">
        <v>131</v>
      </c>
      <c r="K147" s="5"/>
      <c r="L147" s="5"/>
      <c r="M147" s="5">
        <v>131</v>
      </c>
      <c r="N147" s="5">
        <v>1</v>
      </c>
      <c r="O147" s="5"/>
      <c r="P147" s="5"/>
      <c r="Q147" s="5">
        <v>131</v>
      </c>
      <c r="R147" s="5">
        <v>1</v>
      </c>
      <c r="S147" s="5"/>
      <c r="T147" s="5">
        <v>131</v>
      </c>
      <c r="U147" s="5"/>
      <c r="V147" s="5">
        <v>131</v>
      </c>
      <c r="W147" s="5"/>
      <c r="X147" s="5"/>
      <c r="Y147" s="5" t="s">
        <v>1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510</v>
      </c>
      <c r="BB147" s="5" t="s">
        <v>510</v>
      </c>
      <c r="BC147" s="5" t="s">
        <v>510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372</v>
      </c>
      <c r="CC147" s="7"/>
      <c r="CD147" s="7"/>
      <c r="CE147" s="7"/>
      <c r="CF147" s="7"/>
      <c r="CG147" s="7"/>
      <c r="CH147" s="7"/>
      <c r="CI147" s="8"/>
      <c r="CJ147" s="8"/>
      <c r="CK147" s="5"/>
      <c r="CL147" s="5"/>
      <c r="CM147" s="5"/>
      <c r="CN147" s="5"/>
      <c r="CO147" s="5"/>
      <c r="CP147" s="5"/>
      <c r="CQ147" s="5"/>
      <c r="CR147" s="5"/>
      <c r="CS147" s="5">
        <v>1</v>
      </c>
      <c r="CT147" s="5">
        <v>0</v>
      </c>
      <c r="CU147" s="5">
        <v>10000</v>
      </c>
      <c r="CV147" s="5">
        <v>1</v>
      </c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2">
      <c r="A148" s="5" t="str">
        <f>Column!$C148&amp;"_"&amp;Column!$G148</f>
        <v>Users_Developer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83</v>
      </c>
      <c r="H148" s="5" t="s">
        <v>710</v>
      </c>
      <c r="I148" s="5">
        <v>132</v>
      </c>
      <c r="J148" s="5">
        <v>132</v>
      </c>
      <c r="K148" s="5"/>
      <c r="L148" s="5"/>
      <c r="M148" s="5"/>
      <c r="N148" s="5"/>
      <c r="O148" s="5"/>
      <c r="P148" s="5"/>
      <c r="Q148" s="5"/>
      <c r="R148" s="5"/>
      <c r="S148" s="5"/>
      <c r="T148" s="5">
        <v>132</v>
      </c>
      <c r="U148" s="5"/>
      <c r="V148" s="5">
        <v>132</v>
      </c>
      <c r="W148" s="5"/>
      <c r="X148" s="5"/>
      <c r="Y148" s="5" t="s">
        <v>84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>
        <v>1</v>
      </c>
      <c r="AZ148" s="5"/>
      <c r="BA148" s="5" t="s">
        <v>509</v>
      </c>
      <c r="BB148" s="5" t="s">
        <v>509</v>
      </c>
      <c r="BC148" s="5" t="s">
        <v>509</v>
      </c>
      <c r="BD148" s="5"/>
      <c r="BE148" s="5"/>
      <c r="BF148" s="5">
        <v>1</v>
      </c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2">
      <c r="A149" s="5" t="str">
        <f>Column!$C149&amp;"_"&amp;Column!$G149</f>
        <v>Users_UserSettings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548</v>
      </c>
      <c r="H149" s="5" t="s">
        <v>711</v>
      </c>
      <c r="I149" s="5">
        <v>133</v>
      </c>
      <c r="J149" s="5">
        <v>133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133</v>
      </c>
      <c r="U149" s="5"/>
      <c r="V149" s="5">
        <v>133</v>
      </c>
      <c r="W149" s="5"/>
      <c r="X149" s="5"/>
      <c r="Y149" s="5" t="s">
        <v>3</v>
      </c>
      <c r="Z149" s="5" t="s">
        <v>549</v>
      </c>
      <c r="AA149" s="5" t="s">
        <v>442</v>
      </c>
      <c r="AB149" s="5">
        <v>-1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>
        <v>1</v>
      </c>
      <c r="BG149" s="5"/>
      <c r="BH149" s="5"/>
      <c r="BI149" s="5"/>
      <c r="BJ149" s="5"/>
      <c r="BK149" s="5" t="s">
        <v>550</v>
      </c>
      <c r="BL149" s="5" t="s">
        <v>781</v>
      </c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>
        <v>1</v>
      </c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2">
      <c r="A150" s="5" t="str">
        <f>Column!$C150&amp;"_"&amp;Column!$G150</f>
        <v>Users_ApiKey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584</v>
      </c>
      <c r="H150" s="5" t="s">
        <v>712</v>
      </c>
      <c r="I150" s="5">
        <v>134</v>
      </c>
      <c r="J150" s="5">
        <v>134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134</v>
      </c>
      <c r="U150" s="5"/>
      <c r="V150" s="5">
        <v>134</v>
      </c>
      <c r="W150" s="5"/>
      <c r="X150" s="5"/>
      <c r="Y150" s="5" t="s">
        <v>3</v>
      </c>
      <c r="Z150" s="5"/>
      <c r="AA150" s="5"/>
      <c r="AB150" s="5">
        <v>128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>
        <v>1</v>
      </c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2">
      <c r="A151" s="5" t="str">
        <f>Column!$C151&amp;"_"&amp;Column!$G151</f>
        <v>Users_OldPassword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293</v>
      </c>
      <c r="H151" s="5" t="s">
        <v>713</v>
      </c>
      <c r="I151" s="5">
        <v>135</v>
      </c>
      <c r="J151" s="5">
        <v>135</v>
      </c>
      <c r="K151" s="5"/>
      <c r="L151" s="5"/>
      <c r="M151" s="5"/>
      <c r="N151" s="5"/>
      <c r="O151" s="5"/>
      <c r="P151" s="5"/>
      <c r="Q151" s="5">
        <v>133</v>
      </c>
      <c r="R151" s="5"/>
      <c r="S151" s="5"/>
      <c r="T151" s="5">
        <v>135</v>
      </c>
      <c r="U151" s="5"/>
      <c r="V151" s="5">
        <v>135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>
        <v>1</v>
      </c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>
        <v>1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 t="s">
        <v>294</v>
      </c>
      <c r="CN151" s="5">
        <v>1</v>
      </c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2">
      <c r="A152" s="5" t="str">
        <f>Column!$C152&amp;"_"&amp;Column!$G152</f>
        <v>Users_ChangedPassword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290</v>
      </c>
      <c r="H152" s="5" t="s">
        <v>714</v>
      </c>
      <c r="I152" s="5">
        <v>136</v>
      </c>
      <c r="J152" s="5">
        <v>136</v>
      </c>
      <c r="K152" s="5"/>
      <c r="L152" s="5"/>
      <c r="M152" s="5"/>
      <c r="N152" s="5"/>
      <c r="O152" s="5"/>
      <c r="P152" s="5"/>
      <c r="Q152" s="5">
        <v>134</v>
      </c>
      <c r="R152" s="5"/>
      <c r="S152" s="5"/>
      <c r="T152" s="5">
        <v>136</v>
      </c>
      <c r="U152" s="5"/>
      <c r="V152" s="5">
        <v>136</v>
      </c>
      <c r="W152" s="5"/>
      <c r="X152" s="5"/>
      <c r="Y152" s="5" t="s">
        <v>291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294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2">
      <c r="A153" s="5" t="str">
        <f>Column!$C153&amp;"_"&amp;Column!$G153</f>
        <v>Users_ChangedPasswordValidator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424</v>
      </c>
      <c r="H153" s="5" t="s">
        <v>715</v>
      </c>
      <c r="I153" s="5">
        <v>137</v>
      </c>
      <c r="J153" s="5">
        <v>137</v>
      </c>
      <c r="K153" s="5"/>
      <c r="L153" s="5"/>
      <c r="M153" s="5"/>
      <c r="N153" s="5"/>
      <c r="O153" s="5"/>
      <c r="P153" s="5"/>
      <c r="Q153" s="5">
        <v>135</v>
      </c>
      <c r="R153" s="5"/>
      <c r="S153" s="5"/>
      <c r="T153" s="5">
        <v>137</v>
      </c>
      <c r="U153" s="5"/>
      <c r="V153" s="5">
        <v>137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 t="s">
        <v>512</v>
      </c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 t="s">
        <v>472</v>
      </c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2">
      <c r="A154" s="5" t="str">
        <f>Column!$C154&amp;"_"&amp;Column!$G154</f>
        <v>Users_AfterResetPassword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297</v>
      </c>
      <c r="H154" s="5" t="s">
        <v>714</v>
      </c>
      <c r="I154" s="5">
        <v>138</v>
      </c>
      <c r="J154" s="5">
        <v>138</v>
      </c>
      <c r="K154" s="5"/>
      <c r="L154" s="5"/>
      <c r="M154" s="5"/>
      <c r="N154" s="5"/>
      <c r="O154" s="5"/>
      <c r="P154" s="5"/>
      <c r="Q154" s="5">
        <v>136</v>
      </c>
      <c r="R154" s="5"/>
      <c r="S154" s="5"/>
      <c r="T154" s="5">
        <v>138</v>
      </c>
      <c r="U154" s="5"/>
      <c r="V154" s="5">
        <v>138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296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2">
      <c r="A155" s="5" t="str">
        <f>Column!$C155&amp;"_"&amp;Column!$G155</f>
        <v>Users_AfterResetPasswordValidator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425</v>
      </c>
      <c r="H155" s="5" t="s">
        <v>715</v>
      </c>
      <c r="I155" s="5">
        <v>139</v>
      </c>
      <c r="J155" s="5">
        <v>139</v>
      </c>
      <c r="K155" s="5"/>
      <c r="L155" s="5"/>
      <c r="M155" s="5"/>
      <c r="N155" s="5"/>
      <c r="O155" s="5"/>
      <c r="P155" s="5"/>
      <c r="Q155" s="5">
        <v>137</v>
      </c>
      <c r="R155" s="5"/>
      <c r="S155" s="5"/>
      <c r="T155" s="5">
        <v>139</v>
      </c>
      <c r="U155" s="5"/>
      <c r="V155" s="5">
        <v>139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512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296</v>
      </c>
      <c r="CN155" s="5">
        <v>1</v>
      </c>
      <c r="CO155" s="5"/>
      <c r="CP155" s="5"/>
      <c r="CQ155" s="5"/>
      <c r="CR155" s="5" t="s">
        <v>473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2">
      <c r="A156" s="5" t="str">
        <f>Column!$C156&amp;"_"&amp;Column!$G156</f>
        <v>Users_MailAddresses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446</v>
      </c>
      <c r="H156" s="5" t="s">
        <v>218</v>
      </c>
      <c r="I156" s="5">
        <v>140</v>
      </c>
      <c r="J156" s="5">
        <v>140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140</v>
      </c>
      <c r="U156" s="5"/>
      <c r="V156" s="5">
        <v>140</v>
      </c>
      <c r="W156" s="5"/>
      <c r="X156" s="5"/>
      <c r="Y156" s="5" t="s">
        <v>3</v>
      </c>
      <c r="Z156" s="5" t="s">
        <v>447</v>
      </c>
      <c r="AA156" s="5"/>
      <c r="AB156" s="5">
        <v>-1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>
        <v>1</v>
      </c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>
        <v>1</v>
      </c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2">
      <c r="A157" s="5" t="str">
        <f>Column!$C157&amp;"_"&amp;Column!$G157</f>
        <v>Users_DemoMailAddress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428</v>
      </c>
      <c r="H157" s="5" t="s">
        <v>218</v>
      </c>
      <c r="I157" s="5">
        <v>141</v>
      </c>
      <c r="J157" s="5">
        <v>141</v>
      </c>
      <c r="K157" s="5"/>
      <c r="L157" s="5"/>
      <c r="M157" s="5"/>
      <c r="N157" s="5"/>
      <c r="O157" s="5"/>
      <c r="P157" s="5"/>
      <c r="Q157" s="5">
        <v>139</v>
      </c>
      <c r="R157" s="5"/>
      <c r="S157" s="5"/>
      <c r="T157" s="5">
        <v>141</v>
      </c>
      <c r="U157" s="5"/>
      <c r="V157" s="5">
        <v>141</v>
      </c>
      <c r="W157" s="5"/>
      <c r="X157" s="5"/>
      <c r="Y157" s="5" t="s">
        <v>3</v>
      </c>
      <c r="Z157" s="5"/>
      <c r="AA157" s="5"/>
      <c r="AB157" s="5">
        <v>2048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 t="s">
        <v>430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429</v>
      </c>
      <c r="CN157" s="5">
        <v>1</v>
      </c>
      <c r="CO157" s="5"/>
      <c r="CP157" s="5"/>
      <c r="CQ157" s="5">
        <v>1</v>
      </c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2">
      <c r="A158" s="5" t="str">
        <f>Column!$C158&amp;"_"&amp;Column!$G158</f>
        <v>Users_SessionGuid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111</v>
      </c>
      <c r="H158" s="5" t="s">
        <v>670</v>
      </c>
      <c r="I158" s="5">
        <v>142</v>
      </c>
      <c r="J158" s="5">
        <v>142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142</v>
      </c>
      <c r="U158" s="5"/>
      <c r="V158" s="5">
        <v>142</v>
      </c>
      <c r="W158" s="5"/>
      <c r="X158" s="5"/>
      <c r="Y158" s="5" t="s">
        <v>24</v>
      </c>
      <c r="Z158" s="5"/>
      <c r="AA158" s="5"/>
      <c r="AB158" s="5">
        <v>34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2">
      <c r="A159" s="5" t="str">
        <f>Column!$C159&amp;"_"&amp;Column!$G159</f>
        <v>Users_LdapSearchRoot</v>
      </c>
      <c r="B159" s="5" t="s">
        <v>28</v>
      </c>
      <c r="C159" s="5" t="s">
        <v>130</v>
      </c>
      <c r="D159" s="5"/>
      <c r="E159" s="5"/>
      <c r="F159" s="5" t="s">
        <v>233</v>
      </c>
      <c r="G159" s="11" t="s">
        <v>596</v>
      </c>
      <c r="H159" s="11" t="s">
        <v>716</v>
      </c>
      <c r="I159" s="5">
        <v>901</v>
      </c>
      <c r="J159" s="5">
        <v>901</v>
      </c>
      <c r="K159" s="11"/>
      <c r="L159" s="5">
        <v>901</v>
      </c>
      <c r="M159" s="5">
        <v>901</v>
      </c>
      <c r="N159" s="5"/>
      <c r="O159" s="5">
        <v>901</v>
      </c>
      <c r="P159" s="5"/>
      <c r="Q159" s="5">
        <v>901</v>
      </c>
      <c r="R159" s="5"/>
      <c r="S159" s="5"/>
      <c r="T159" s="5">
        <v>901</v>
      </c>
      <c r="U159" s="5"/>
      <c r="V159" s="5">
        <v>901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2">
      <c r="A160" s="5" t="str">
        <f>Column!$C160&amp;"_"&amp;Column!$G160</f>
        <v>Users_SynchronizedTime</v>
      </c>
      <c r="B160" s="5" t="s">
        <v>28</v>
      </c>
      <c r="C160" s="5" t="s">
        <v>130</v>
      </c>
      <c r="D160" s="5"/>
      <c r="E160" s="5"/>
      <c r="F160" s="5" t="s">
        <v>233</v>
      </c>
      <c r="G160" s="11" t="s">
        <v>595</v>
      </c>
      <c r="H160" s="11" t="s">
        <v>717</v>
      </c>
      <c r="I160" s="5">
        <v>902</v>
      </c>
      <c r="J160" s="5">
        <v>902</v>
      </c>
      <c r="K160" s="11"/>
      <c r="L160" s="5">
        <v>902</v>
      </c>
      <c r="M160" s="5">
        <v>902</v>
      </c>
      <c r="N160" s="5"/>
      <c r="O160" s="5">
        <v>902</v>
      </c>
      <c r="P160" s="5"/>
      <c r="Q160" s="5">
        <v>902</v>
      </c>
      <c r="R160" s="5"/>
      <c r="S160" s="5"/>
      <c r="T160" s="5">
        <v>902</v>
      </c>
      <c r="U160" s="5"/>
      <c r="V160" s="5">
        <v>902</v>
      </c>
      <c r="W160" s="5"/>
      <c r="X160" s="5"/>
      <c r="Y160" s="5" t="s">
        <v>8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2">
      <c r="A161" s="5" t="str">
        <f>Column!$C161&amp;"_"&amp;Column!$G161</f>
        <v>LoginKeys_LoginId</v>
      </c>
      <c r="B161" s="5" t="s">
        <v>537</v>
      </c>
      <c r="C161" s="5" t="s">
        <v>538</v>
      </c>
      <c r="D161" s="5"/>
      <c r="E161" s="5"/>
      <c r="F161" s="5" t="s">
        <v>536</v>
      </c>
      <c r="G161" s="5" t="s">
        <v>534</v>
      </c>
      <c r="H161" s="5" t="s">
        <v>687</v>
      </c>
      <c r="I161" s="5">
        <v>1</v>
      </c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 t="s">
        <v>3</v>
      </c>
      <c r="Z161" s="5"/>
      <c r="AA161" s="5"/>
      <c r="AB161" s="5">
        <v>256</v>
      </c>
      <c r="AC161" s="5"/>
      <c r="AD161" s="5">
        <v>1</v>
      </c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>
        <v>1</v>
      </c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2">
      <c r="A162" s="5" t="str">
        <f>Column!$C162&amp;"_"&amp;Column!$G162</f>
        <v>LoginKeys_Key</v>
      </c>
      <c r="B162" s="5" t="s">
        <v>537</v>
      </c>
      <c r="C162" s="5" t="s">
        <v>538</v>
      </c>
      <c r="D162" s="5"/>
      <c r="E162" s="5"/>
      <c r="F162" s="5" t="s">
        <v>536</v>
      </c>
      <c r="G162" s="5" t="s">
        <v>535</v>
      </c>
      <c r="H162" s="5" t="s">
        <v>718</v>
      </c>
      <c r="I162" s="5">
        <v>2</v>
      </c>
      <c r="J162" s="5">
        <v>2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36</v>
      </c>
      <c r="AC162" s="5"/>
      <c r="AD162" s="5">
        <v>2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2">
      <c r="A163" s="5" t="str">
        <f>Column!$C163&amp;"_"&amp;Column!$G163</f>
        <v>LoginKeys_TenantNames</v>
      </c>
      <c r="B163" s="5" t="s">
        <v>537</v>
      </c>
      <c r="C163" s="5" t="s">
        <v>538</v>
      </c>
      <c r="D163" s="5"/>
      <c r="E163" s="5"/>
      <c r="F163" s="5" t="s">
        <v>536</v>
      </c>
      <c r="G163" s="5" t="s">
        <v>541</v>
      </c>
      <c r="H163" s="5" t="s">
        <v>719</v>
      </c>
      <c r="I163" s="5">
        <v>101</v>
      </c>
      <c r="J163" s="5">
        <v>101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2">
      <c r="A164" s="5" t="str">
        <f>Column!$C164&amp;"_"&amp;Column!$G164</f>
        <v>LoginKeys_TenantId</v>
      </c>
      <c r="B164" s="5" t="s">
        <v>537</v>
      </c>
      <c r="C164" s="5" t="s">
        <v>538</v>
      </c>
      <c r="D164" s="5"/>
      <c r="E164" s="5"/>
      <c r="F164" s="5" t="s">
        <v>536</v>
      </c>
      <c r="G164" s="5" t="s">
        <v>542</v>
      </c>
      <c r="H164" s="5" t="s">
        <v>631</v>
      </c>
      <c r="I164" s="5">
        <v>102</v>
      </c>
      <c r="J164" s="5">
        <v>102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1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2">
      <c r="A165" s="5" t="str">
        <f>Column!$C165&amp;"_"&amp;Column!$G165</f>
        <v>LoginKeys_UserId</v>
      </c>
      <c r="B165" s="5" t="s">
        <v>537</v>
      </c>
      <c r="C165" s="5" t="s">
        <v>538</v>
      </c>
      <c r="D165" s="5"/>
      <c r="E165" s="5"/>
      <c r="F165" s="5" t="s">
        <v>536</v>
      </c>
      <c r="G165" s="5" t="s">
        <v>540</v>
      </c>
      <c r="H165" s="5" t="s">
        <v>685</v>
      </c>
      <c r="I165" s="5">
        <v>103</v>
      </c>
      <c r="J165" s="5">
        <v>103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2">
      <c r="A166" s="5" t="str">
        <f>Column!$C166&amp;"_"&amp;Column!$G166</f>
        <v>MailAddresses_OwnerId</v>
      </c>
      <c r="B166" s="5" t="s">
        <v>170</v>
      </c>
      <c r="C166" s="5" t="s">
        <v>171</v>
      </c>
      <c r="D166" s="5"/>
      <c r="E166" s="5"/>
      <c r="F166" s="5" t="s">
        <v>232</v>
      </c>
      <c r="G166" s="5" t="s">
        <v>175</v>
      </c>
      <c r="H166" s="5" t="s">
        <v>720</v>
      </c>
      <c r="I166" s="5">
        <v>1</v>
      </c>
      <c r="J166" s="5">
        <v>1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</v>
      </c>
      <c r="U166" s="5"/>
      <c r="V166" s="5">
        <v>1</v>
      </c>
      <c r="W166" s="5"/>
      <c r="X166" s="5"/>
      <c r="Y166" s="5" t="s">
        <v>0</v>
      </c>
      <c r="Z166" s="5"/>
      <c r="AA166" s="5"/>
      <c r="AB166" s="5"/>
      <c r="AC166" s="5"/>
      <c r="AD166" s="5">
        <v>1</v>
      </c>
      <c r="AE166" s="5"/>
      <c r="AF166" s="5">
        <v>1</v>
      </c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>
        <v>1</v>
      </c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2">
      <c r="A167" s="5" t="str">
        <f>Column!$C167&amp;"_"&amp;Column!$G167</f>
        <v>MailAddresses_OwnerType</v>
      </c>
      <c r="B167" s="5" t="s">
        <v>170</v>
      </c>
      <c r="C167" s="5" t="s">
        <v>171</v>
      </c>
      <c r="D167" s="5"/>
      <c r="E167" s="5"/>
      <c r="F167" s="5" t="s">
        <v>232</v>
      </c>
      <c r="G167" s="5" t="s">
        <v>174</v>
      </c>
      <c r="H167" s="5" t="s">
        <v>721</v>
      </c>
      <c r="I167" s="5">
        <v>2</v>
      </c>
      <c r="J167" s="5">
        <v>2</v>
      </c>
      <c r="K167" s="5"/>
      <c r="L167" s="5"/>
      <c r="M167" s="5"/>
      <c r="N167" s="5"/>
      <c r="O167" s="5"/>
      <c r="P167" s="5"/>
      <c r="Q167" s="5">
        <v>2</v>
      </c>
      <c r="R167" s="5">
        <v>1</v>
      </c>
      <c r="S167" s="5"/>
      <c r="T167" s="5">
        <v>2</v>
      </c>
      <c r="U167" s="5"/>
      <c r="V167" s="5">
        <v>2</v>
      </c>
      <c r="W167" s="5"/>
      <c r="X167" s="5"/>
      <c r="Y167" s="5" t="s">
        <v>3</v>
      </c>
      <c r="Z167" s="5"/>
      <c r="AA167" s="5"/>
      <c r="AB167" s="5">
        <v>32</v>
      </c>
      <c r="AC167" s="5"/>
      <c r="AD167" s="5">
        <v>2</v>
      </c>
      <c r="AE167" s="5"/>
      <c r="AF167" s="5">
        <v>2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2">
      <c r="A168" s="5" t="str">
        <f>Column!$C168&amp;"_"&amp;Column!$G168</f>
        <v>MailAddresses_MailAddressId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172</v>
      </c>
      <c r="H168" s="5" t="s">
        <v>722</v>
      </c>
      <c r="I168" s="5">
        <v>3</v>
      </c>
      <c r="J168" s="5">
        <v>3</v>
      </c>
      <c r="K168" s="5"/>
      <c r="L168" s="5"/>
      <c r="M168" s="5"/>
      <c r="N168" s="5"/>
      <c r="O168" s="5"/>
      <c r="P168" s="5"/>
      <c r="Q168" s="5">
        <v>3</v>
      </c>
      <c r="R168" s="5">
        <v>1</v>
      </c>
      <c r="S168" s="5"/>
      <c r="T168" s="5">
        <v>3</v>
      </c>
      <c r="U168" s="5"/>
      <c r="V168" s="5">
        <v>3</v>
      </c>
      <c r="W168" s="5"/>
      <c r="X168" s="5"/>
      <c r="Y168" s="5" t="s">
        <v>0</v>
      </c>
      <c r="Z168" s="5"/>
      <c r="AA168" s="5"/>
      <c r="AB168" s="5"/>
      <c r="AC168" s="5"/>
      <c r="AD168" s="5">
        <v>3</v>
      </c>
      <c r="AE168" s="5"/>
      <c r="AF168" s="5">
        <v>3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1</v>
      </c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 t="s">
        <v>113</v>
      </c>
      <c r="CC168" s="5">
        <v>1</v>
      </c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2">
      <c r="A169" s="5" t="str">
        <f>Column!$C169&amp;"_"&amp;Column!$G169</f>
        <v>MailAddresses_MailAddress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170</v>
      </c>
      <c r="H169" s="5" t="s">
        <v>218</v>
      </c>
      <c r="I169" s="5">
        <v>101</v>
      </c>
      <c r="J169" s="5">
        <v>101</v>
      </c>
      <c r="K169" s="5"/>
      <c r="L169" s="5"/>
      <c r="M169" s="5"/>
      <c r="N169" s="5"/>
      <c r="O169" s="5"/>
      <c r="P169" s="5"/>
      <c r="Q169" s="5">
        <v>101</v>
      </c>
      <c r="R169" s="5">
        <v>1</v>
      </c>
      <c r="S169" s="5"/>
      <c r="T169" s="5">
        <v>101</v>
      </c>
      <c r="U169" s="5"/>
      <c r="V169" s="5">
        <v>101</v>
      </c>
      <c r="W169" s="5"/>
      <c r="X169" s="5"/>
      <c r="Y169" s="5" t="s">
        <v>173</v>
      </c>
      <c r="Z169" s="5"/>
      <c r="AA169" s="5"/>
      <c r="AB169" s="5">
        <v>2048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>
        <v>1</v>
      </c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2">
      <c r="A170" s="5" t="str">
        <f>Column!$C170&amp;"_"&amp;Column!$G170</f>
        <v>MailAddresses_Title</v>
      </c>
      <c r="B170" s="5" t="s">
        <v>170</v>
      </c>
      <c r="C170" s="5" t="s">
        <v>171</v>
      </c>
      <c r="D170" s="5"/>
      <c r="E170" s="5"/>
      <c r="F170" s="5" t="s">
        <v>218</v>
      </c>
      <c r="G170" s="5" t="s">
        <v>247</v>
      </c>
      <c r="H170" s="5" t="s">
        <v>621</v>
      </c>
      <c r="I170" s="5">
        <v>102</v>
      </c>
      <c r="J170" s="5">
        <v>102</v>
      </c>
      <c r="K170" s="5"/>
      <c r="L170" s="5"/>
      <c r="M170" s="5"/>
      <c r="N170" s="5"/>
      <c r="O170" s="5"/>
      <c r="P170" s="5"/>
      <c r="Q170" s="5">
        <v>102</v>
      </c>
      <c r="R170" s="5">
        <v>1</v>
      </c>
      <c r="S170" s="5"/>
      <c r="T170" s="5">
        <v>102</v>
      </c>
      <c r="U170" s="5"/>
      <c r="V170" s="5">
        <v>102</v>
      </c>
      <c r="W170" s="5"/>
      <c r="X170" s="5"/>
      <c r="Y170" s="5" t="s">
        <v>68</v>
      </c>
      <c r="Z170" s="5" t="s">
        <v>206</v>
      </c>
      <c r="AA170" s="5" t="s">
        <v>204</v>
      </c>
      <c r="AB170" s="5">
        <v>1024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>
        <v>1</v>
      </c>
      <c r="BH170" s="5">
        <v>1</v>
      </c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 t="s">
        <v>248</v>
      </c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2">
      <c r="A171" s="5" t="str">
        <f>Column!$C171&amp;"_"&amp;Column!$G171</f>
        <v>Permissions_ReferenceId</v>
      </c>
      <c r="B171" s="5" t="s">
        <v>39</v>
      </c>
      <c r="C171" s="5" t="s">
        <v>131</v>
      </c>
      <c r="D171" s="5"/>
      <c r="E171" s="5"/>
      <c r="F171" s="5" t="s">
        <v>231</v>
      </c>
      <c r="G171" s="5" t="s">
        <v>289</v>
      </c>
      <c r="H171" s="5" t="s">
        <v>723</v>
      </c>
      <c r="I171" s="5">
        <v>2</v>
      </c>
      <c r="J171" s="5">
        <v>2</v>
      </c>
      <c r="K171" s="5"/>
      <c r="L171" s="5"/>
      <c r="M171" s="5"/>
      <c r="N171" s="5"/>
      <c r="O171" s="5"/>
      <c r="P171" s="5"/>
      <c r="Q171" s="5">
        <v>2</v>
      </c>
      <c r="R171" s="5">
        <v>1</v>
      </c>
      <c r="S171" s="5"/>
      <c r="T171" s="5">
        <v>1</v>
      </c>
      <c r="U171" s="5"/>
      <c r="V171" s="5">
        <v>1</v>
      </c>
      <c r="W171" s="5"/>
      <c r="X171" s="5"/>
      <c r="Y171" s="5" t="s">
        <v>0</v>
      </c>
      <c r="Z171" s="5"/>
      <c r="AA171" s="5"/>
      <c r="AB171" s="5"/>
      <c r="AC171" s="5"/>
      <c r="AD171" s="5">
        <v>1</v>
      </c>
      <c r="AE171" s="5"/>
      <c r="AF171" s="5">
        <v>1</v>
      </c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2">
      <c r="A172" s="5" t="str">
        <f>Column!$C172&amp;"_"&amp;Column!$G172</f>
        <v>Permissions_DeptId</v>
      </c>
      <c r="B172" s="5" t="s">
        <v>39</v>
      </c>
      <c r="C172" s="5" t="s">
        <v>131</v>
      </c>
      <c r="D172" s="5"/>
      <c r="E172" s="5"/>
      <c r="F172" s="5" t="s">
        <v>231</v>
      </c>
      <c r="G172" s="5" t="s">
        <v>103</v>
      </c>
      <c r="H172" s="5" t="s">
        <v>679</v>
      </c>
      <c r="I172" s="5">
        <v>3</v>
      </c>
      <c r="J172" s="5">
        <v>3</v>
      </c>
      <c r="K172" s="5"/>
      <c r="L172" s="5"/>
      <c r="M172" s="5"/>
      <c r="N172" s="5"/>
      <c r="O172" s="5"/>
      <c r="P172" s="5"/>
      <c r="Q172" s="5">
        <v>3</v>
      </c>
      <c r="R172" s="5">
        <v>1</v>
      </c>
      <c r="S172" s="5"/>
      <c r="T172" s="5">
        <v>2</v>
      </c>
      <c r="U172" s="5"/>
      <c r="V172" s="5">
        <v>2</v>
      </c>
      <c r="W172" s="5"/>
      <c r="X172" s="5"/>
      <c r="Y172" s="5" t="s">
        <v>140</v>
      </c>
      <c r="Z172" s="5"/>
      <c r="AA172" s="5"/>
      <c r="AB172" s="5"/>
      <c r="AC172" s="5"/>
      <c r="AD172" s="5">
        <v>2</v>
      </c>
      <c r="AE172" s="5"/>
      <c r="AF172" s="5">
        <v>2</v>
      </c>
      <c r="AG172" s="5"/>
      <c r="AH172" s="5"/>
      <c r="AI172" s="5"/>
      <c r="AJ172" s="5"/>
      <c r="AK172" s="5"/>
      <c r="AL172" s="5"/>
      <c r="AM172" s="5"/>
      <c r="AN172" s="5"/>
      <c r="AO172" s="5">
        <v>0</v>
      </c>
      <c r="AP172" s="5"/>
      <c r="AQ172" s="5"/>
      <c r="AR172" s="5"/>
      <c r="AS172" s="5"/>
      <c r="AT172" s="5"/>
      <c r="AU172" s="5"/>
      <c r="AV172" s="5"/>
      <c r="AW172" s="5"/>
      <c r="AX172" s="5">
        <v>1</v>
      </c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2">
      <c r="A173" s="5" t="str">
        <f>Column!$C173&amp;"_"&amp;Column!$G173</f>
        <v>Permissions_GroupId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503</v>
      </c>
      <c r="H173" s="5" t="s">
        <v>683</v>
      </c>
      <c r="I173" s="5">
        <v>4</v>
      </c>
      <c r="J173" s="5">
        <v>4</v>
      </c>
      <c r="K173" s="5"/>
      <c r="L173" s="5"/>
      <c r="M173" s="5"/>
      <c r="N173" s="5"/>
      <c r="O173" s="5"/>
      <c r="P173" s="5"/>
      <c r="Q173" s="5">
        <v>4</v>
      </c>
      <c r="R173" s="5">
        <v>1</v>
      </c>
      <c r="S173" s="5"/>
      <c r="T173" s="5">
        <v>3</v>
      </c>
      <c r="U173" s="5"/>
      <c r="V173" s="5">
        <v>3</v>
      </c>
      <c r="W173" s="5"/>
      <c r="X173" s="5"/>
      <c r="Y173" s="5" t="s">
        <v>1</v>
      </c>
      <c r="Z173" s="5"/>
      <c r="AA173" s="5"/>
      <c r="AB173" s="5"/>
      <c r="AC173" s="5"/>
      <c r="AD173" s="5">
        <v>3</v>
      </c>
      <c r="AE173" s="5"/>
      <c r="AF173" s="5">
        <v>3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2">
      <c r="A174" s="5" t="str">
        <f>Column!$C174&amp;"_"&amp;Column!$G174</f>
        <v>Permissions_UserId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106</v>
      </c>
      <c r="H174" s="5" t="s">
        <v>685</v>
      </c>
      <c r="I174" s="5">
        <v>5</v>
      </c>
      <c r="J174" s="5">
        <v>5</v>
      </c>
      <c r="K174" s="5"/>
      <c r="L174" s="5"/>
      <c r="M174" s="5"/>
      <c r="N174" s="5"/>
      <c r="O174" s="5"/>
      <c r="P174" s="5"/>
      <c r="Q174" s="5">
        <v>5</v>
      </c>
      <c r="R174" s="5">
        <v>1</v>
      </c>
      <c r="S174" s="5"/>
      <c r="T174" s="5">
        <v>4</v>
      </c>
      <c r="U174" s="5"/>
      <c r="V174" s="5">
        <v>4</v>
      </c>
      <c r="W174" s="5"/>
      <c r="X174" s="5"/>
      <c r="Y174" s="5" t="s">
        <v>140</v>
      </c>
      <c r="Z174" s="5"/>
      <c r="AA174" s="5"/>
      <c r="AB174" s="5"/>
      <c r="AC174" s="5"/>
      <c r="AD174" s="5">
        <v>4</v>
      </c>
      <c r="AE174" s="5"/>
      <c r="AF174" s="5">
        <v>4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2">
      <c r="A175" s="5" t="str">
        <f>Column!$C175&amp;"_"&amp;Column!$G175</f>
        <v>Permissions_DeptName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35</v>
      </c>
      <c r="H175" s="5" t="s">
        <v>681</v>
      </c>
      <c r="I175" s="5">
        <v>101</v>
      </c>
      <c r="J175" s="5">
        <v>101</v>
      </c>
      <c r="K175" s="5"/>
      <c r="L175" s="5"/>
      <c r="M175" s="5"/>
      <c r="N175" s="5"/>
      <c r="O175" s="5"/>
      <c r="P175" s="5"/>
      <c r="Q175" s="5">
        <v>101</v>
      </c>
      <c r="R175" s="5">
        <v>1</v>
      </c>
      <c r="S175" s="5"/>
      <c r="T175" s="5">
        <v>101</v>
      </c>
      <c r="U175" s="5"/>
      <c r="V175" s="5">
        <v>101</v>
      </c>
      <c r="W175" s="5"/>
      <c r="X175" s="5"/>
      <c r="Y175" s="5" t="s">
        <v>3</v>
      </c>
      <c r="Z175" s="5"/>
      <c r="AA175" s="5"/>
      <c r="AB175" s="5">
        <v>256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129</v>
      </c>
      <c r="AU175" s="5" t="s">
        <v>212</v>
      </c>
      <c r="AV175" s="5" t="s">
        <v>495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>
        <v>1</v>
      </c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2">
      <c r="A176" s="5" t="str">
        <f>Column!$C176&amp;"_"&amp;Column!$G176</f>
        <v>Permissions_GroupName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504</v>
      </c>
      <c r="H176" s="5" t="s">
        <v>684</v>
      </c>
      <c r="I176" s="5">
        <v>102</v>
      </c>
      <c r="J176" s="5">
        <v>102</v>
      </c>
      <c r="K176" s="5"/>
      <c r="L176" s="5"/>
      <c r="M176" s="5"/>
      <c r="N176" s="5"/>
      <c r="O176" s="5"/>
      <c r="P176" s="5"/>
      <c r="Q176" s="5">
        <v>102</v>
      </c>
      <c r="R176" s="5">
        <v>1</v>
      </c>
      <c r="S176" s="5"/>
      <c r="T176" s="5">
        <v>102</v>
      </c>
      <c r="U176" s="5"/>
      <c r="V176" s="5">
        <v>102</v>
      </c>
      <c r="W176" s="5"/>
      <c r="X176" s="5"/>
      <c r="Y176" s="5" t="s">
        <v>3</v>
      </c>
      <c r="Z176" s="5"/>
      <c r="AA176" s="5"/>
      <c r="AB176" s="5">
        <v>256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505</v>
      </c>
      <c r="AU176" s="5" t="s">
        <v>212</v>
      </c>
      <c r="AV176" s="5" t="s">
        <v>506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2">
      <c r="A177" s="5" t="str">
        <f>Column!$C177&amp;"_"&amp;Column!$G177</f>
        <v>Permissions_Name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532</v>
      </c>
      <c r="H177" s="5" t="s">
        <v>689</v>
      </c>
      <c r="I177" s="5">
        <v>103</v>
      </c>
      <c r="J177" s="5">
        <v>103</v>
      </c>
      <c r="K177" s="5"/>
      <c r="L177" s="5"/>
      <c r="M177" s="5"/>
      <c r="N177" s="5"/>
      <c r="O177" s="5"/>
      <c r="P177" s="5"/>
      <c r="Q177" s="5">
        <v>103</v>
      </c>
      <c r="R177" s="5">
        <v>1</v>
      </c>
      <c r="S177" s="5"/>
      <c r="T177" s="5">
        <v>103</v>
      </c>
      <c r="U177" s="5"/>
      <c r="V177" s="5">
        <v>103</v>
      </c>
      <c r="W177" s="5"/>
      <c r="X177" s="5"/>
      <c r="Y177" s="5" t="s">
        <v>3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501</v>
      </c>
      <c r="AU177" s="5" t="s">
        <v>212</v>
      </c>
      <c r="AV177" s="5" t="s">
        <v>496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2">
      <c r="A178" s="5" t="str">
        <f>Column!$C178&amp;"_"&amp;Column!$G178</f>
        <v>Permissions_PermissionType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115</v>
      </c>
      <c r="H178" s="5" t="s">
        <v>724</v>
      </c>
      <c r="I178" s="5">
        <v>104</v>
      </c>
      <c r="J178" s="5">
        <v>104</v>
      </c>
      <c r="K178" s="5"/>
      <c r="L178" s="5"/>
      <c r="M178" s="5"/>
      <c r="N178" s="5"/>
      <c r="O178" s="5"/>
      <c r="P178" s="5"/>
      <c r="Q178" s="5">
        <v>104</v>
      </c>
      <c r="R178" s="5">
        <v>1</v>
      </c>
      <c r="S178" s="5"/>
      <c r="T178" s="5">
        <v>104</v>
      </c>
      <c r="U178" s="5"/>
      <c r="V178" s="5">
        <v>104</v>
      </c>
      <c r="W178" s="5"/>
      <c r="X178" s="5"/>
      <c r="Y178" s="5" t="s">
        <v>38</v>
      </c>
      <c r="Z178" s="5" t="s">
        <v>305</v>
      </c>
      <c r="AA178" s="5" t="s">
        <v>85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>
        <v>31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>
        <v>1</v>
      </c>
      <c r="CA178" s="5"/>
      <c r="CB178" s="5"/>
      <c r="CC178" s="5"/>
      <c r="CD178" s="5"/>
      <c r="CE178" s="5"/>
      <c r="CF178" s="5"/>
      <c r="CG178" s="5"/>
      <c r="CH178" s="5">
        <v>1</v>
      </c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2">
      <c r="A179" s="5" t="str">
        <f>Column!$C179&amp;"_"&amp;Column!$G179</f>
        <v>OutgoingMails_ReferenceType</v>
      </c>
      <c r="B179" s="5" t="s">
        <v>134</v>
      </c>
      <c r="C179" s="5" t="s">
        <v>135</v>
      </c>
      <c r="D179" s="5"/>
      <c r="E179" s="5"/>
      <c r="F179" s="5" t="s">
        <v>230</v>
      </c>
      <c r="G179" s="5" t="s">
        <v>288</v>
      </c>
      <c r="H179" s="5" t="s">
        <v>725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>
        <v>1</v>
      </c>
      <c r="R179" s="5">
        <v>1</v>
      </c>
      <c r="S179" s="5"/>
      <c r="T179" s="5">
        <v>1</v>
      </c>
      <c r="U179" s="5"/>
      <c r="V179" s="5">
        <v>1</v>
      </c>
      <c r="W179" s="5"/>
      <c r="X179" s="5"/>
      <c r="Y179" s="5" t="s">
        <v>3</v>
      </c>
      <c r="Z179" s="5"/>
      <c r="AA179" s="5"/>
      <c r="AB179" s="5">
        <v>32</v>
      </c>
      <c r="AC179" s="5"/>
      <c r="AD179" s="5">
        <v>1</v>
      </c>
      <c r="AE179" s="5"/>
      <c r="AF179" s="5">
        <v>1</v>
      </c>
      <c r="AG179" s="5"/>
      <c r="AH179" s="5">
        <v>2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>
        <v>1</v>
      </c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2">
      <c r="A180" s="5" t="str">
        <f>Column!$C180&amp;"_"&amp;Column!$G180</f>
        <v>OutgoingMails_ReferenceId</v>
      </c>
      <c r="B180" s="5" t="s">
        <v>189</v>
      </c>
      <c r="C180" s="5" t="s">
        <v>135</v>
      </c>
      <c r="D180" s="5"/>
      <c r="E180" s="5"/>
      <c r="F180" s="5" t="s">
        <v>230</v>
      </c>
      <c r="G180" s="5" t="s">
        <v>289</v>
      </c>
      <c r="H180" s="5" t="s">
        <v>723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>
        <v>2</v>
      </c>
      <c r="R180" s="5">
        <v>1</v>
      </c>
      <c r="S180" s="5"/>
      <c r="T180" s="5">
        <v>2</v>
      </c>
      <c r="U180" s="5"/>
      <c r="V180" s="5">
        <v>2</v>
      </c>
      <c r="W180" s="5"/>
      <c r="X180" s="5"/>
      <c r="Y180" s="5" t="s">
        <v>0</v>
      </c>
      <c r="Z180" s="5"/>
      <c r="AA180" s="5"/>
      <c r="AB180" s="5"/>
      <c r="AC180" s="5"/>
      <c r="AD180" s="5">
        <v>2</v>
      </c>
      <c r="AE180" s="5"/>
      <c r="AF180" s="5">
        <v>2</v>
      </c>
      <c r="AG180" s="5"/>
      <c r="AH180" s="5">
        <v>3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2">
      <c r="A181" s="5" t="str">
        <f>Column!$C181&amp;"_"&amp;Column!$G181</f>
        <v>OutgoingMails_ReferenceVer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306</v>
      </c>
      <c r="H181" s="5" t="s">
        <v>726</v>
      </c>
      <c r="I181" s="5">
        <v>3</v>
      </c>
      <c r="J181" s="5">
        <v>3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3</v>
      </c>
      <c r="U181" s="5"/>
      <c r="V181" s="5">
        <v>3</v>
      </c>
      <c r="W181" s="5"/>
      <c r="X181" s="5"/>
      <c r="Y181" s="5" t="s">
        <v>307</v>
      </c>
      <c r="Z181" s="5"/>
      <c r="AA181" s="5"/>
      <c r="AB181" s="5"/>
      <c r="AC181" s="5"/>
      <c r="AD181" s="5">
        <v>3</v>
      </c>
      <c r="AE181" s="5"/>
      <c r="AF181" s="5">
        <v>3</v>
      </c>
      <c r="AG181" s="5"/>
      <c r="AH181" s="5">
        <v>4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2">
      <c r="A182" s="5" t="str">
        <f>Column!$C182&amp;"_"&amp;Column!$G182</f>
        <v>OutgoingMails_OutgoingMailId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385</v>
      </c>
      <c r="H182" s="5" t="s">
        <v>727</v>
      </c>
      <c r="I182" s="5">
        <v>4</v>
      </c>
      <c r="J182" s="5">
        <v>4</v>
      </c>
      <c r="K182" s="5"/>
      <c r="L182" s="5"/>
      <c r="M182" s="5"/>
      <c r="N182" s="5"/>
      <c r="O182" s="5"/>
      <c r="P182" s="5"/>
      <c r="Q182" s="5">
        <v>4</v>
      </c>
      <c r="R182" s="5">
        <v>1</v>
      </c>
      <c r="S182" s="5"/>
      <c r="T182" s="5">
        <v>4</v>
      </c>
      <c r="U182" s="5"/>
      <c r="V182" s="5">
        <v>4</v>
      </c>
      <c r="W182" s="5"/>
      <c r="X182" s="5"/>
      <c r="Y182" s="5" t="s">
        <v>0</v>
      </c>
      <c r="Z182" s="5"/>
      <c r="AA182" s="5"/>
      <c r="AB182" s="5"/>
      <c r="AC182" s="5"/>
      <c r="AD182" s="5">
        <v>4</v>
      </c>
      <c r="AE182" s="5" t="s">
        <v>191</v>
      </c>
      <c r="AF182" s="5">
        <v>4</v>
      </c>
      <c r="AG182" s="5" t="s">
        <v>71</v>
      </c>
      <c r="AH182" s="5">
        <v>1</v>
      </c>
      <c r="AI182" s="5"/>
      <c r="AJ182" s="5"/>
      <c r="AK182" s="5"/>
      <c r="AL182" s="5"/>
      <c r="AM182" s="5"/>
      <c r="AN182" s="5"/>
      <c r="AO182" s="5"/>
      <c r="AP182" s="5"/>
      <c r="AQ182" s="5">
        <v>1</v>
      </c>
      <c r="AR182" s="5"/>
      <c r="AS182" s="5">
        <v>1</v>
      </c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 t="s">
        <v>113</v>
      </c>
      <c r="CC182" s="5">
        <v>1</v>
      </c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2">
      <c r="A183" s="5" t="str">
        <f>Column!$C183&amp;"_"&amp;Column!$G183</f>
        <v>OutgoingMails_Host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74</v>
      </c>
      <c r="H183" s="5" t="s">
        <v>728</v>
      </c>
      <c r="I183" s="5">
        <v>101</v>
      </c>
      <c r="J183" s="5">
        <v>101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101</v>
      </c>
      <c r="U183" s="5"/>
      <c r="V183" s="5">
        <v>101</v>
      </c>
      <c r="W183" s="5"/>
      <c r="X183" s="5"/>
      <c r="Y183" s="5" t="s">
        <v>79</v>
      </c>
      <c r="Z183" s="5"/>
      <c r="AA183" s="5"/>
      <c r="AB183" s="5">
        <v>1024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2">
      <c r="A184" s="5" t="str">
        <f>Column!$C184&amp;"_"&amp;Column!$G184</f>
        <v>OutgoingMails_Port</v>
      </c>
      <c r="B184" s="5" t="s">
        <v>134</v>
      </c>
      <c r="C184" s="5" t="s">
        <v>135</v>
      </c>
      <c r="D184" s="5"/>
      <c r="E184" s="5"/>
      <c r="F184" s="5" t="s">
        <v>230</v>
      </c>
      <c r="G184" s="5" t="s">
        <v>75</v>
      </c>
      <c r="H184" s="5" t="s">
        <v>729</v>
      </c>
      <c r="I184" s="5">
        <v>102</v>
      </c>
      <c r="J184" s="5">
        <v>102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102</v>
      </c>
      <c r="U184" s="5"/>
      <c r="V184" s="5">
        <v>102</v>
      </c>
      <c r="W184" s="5"/>
      <c r="X184" s="5"/>
      <c r="Y184" s="5" t="s">
        <v>73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2">
      <c r="A185" s="5" t="str">
        <f>Column!$C185&amp;"_"&amp;Column!$G185</f>
        <v>OutgoingMails_From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76</v>
      </c>
      <c r="H185" s="5" t="s">
        <v>730</v>
      </c>
      <c r="I185" s="5">
        <v>103</v>
      </c>
      <c r="J185" s="5">
        <v>103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103</v>
      </c>
      <c r="U185" s="5"/>
      <c r="V185" s="5">
        <v>103</v>
      </c>
      <c r="W185" s="5"/>
      <c r="X185" s="5"/>
      <c r="Y185" s="5" t="s">
        <v>79</v>
      </c>
      <c r="Z185" s="5" t="s">
        <v>357</v>
      </c>
      <c r="AA185" s="5" t="s">
        <v>358</v>
      </c>
      <c r="AB185" s="5">
        <v>-1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 t="s">
        <v>359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 t="s">
        <v>573</v>
      </c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2">
      <c r="A186" s="5" t="str">
        <f>Column!$C186&amp;"_"&amp;Column!$G186</f>
        <v>OutgoingMails_To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77</v>
      </c>
      <c r="H186" s="5" t="s">
        <v>731</v>
      </c>
      <c r="I186" s="5">
        <v>104</v>
      </c>
      <c r="J186" s="5">
        <v>104</v>
      </c>
      <c r="K186" s="5"/>
      <c r="L186" s="5"/>
      <c r="M186" s="5"/>
      <c r="N186" s="5"/>
      <c r="O186" s="5"/>
      <c r="P186" s="5"/>
      <c r="Q186" s="5">
        <v>104</v>
      </c>
      <c r="R186" s="5">
        <v>1</v>
      </c>
      <c r="S186" s="5"/>
      <c r="T186" s="5">
        <v>104</v>
      </c>
      <c r="U186" s="5"/>
      <c r="V186" s="5">
        <v>104</v>
      </c>
      <c r="W186" s="5"/>
      <c r="X186" s="5"/>
      <c r="Y186" s="5" t="s">
        <v>79</v>
      </c>
      <c r="Z186" s="5"/>
      <c r="AA186" s="5"/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 t="s">
        <v>491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2">
      <c r="A187" s="5" t="str">
        <f>Column!$C187&amp;"_"&amp;Column!$G187</f>
        <v>OutgoingMails_Cc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112</v>
      </c>
      <c r="H187" s="5" t="s">
        <v>732</v>
      </c>
      <c r="I187" s="5">
        <v>105</v>
      </c>
      <c r="J187" s="5">
        <v>105</v>
      </c>
      <c r="K187" s="5"/>
      <c r="L187" s="5"/>
      <c r="M187" s="5"/>
      <c r="N187" s="5"/>
      <c r="O187" s="5"/>
      <c r="P187" s="5"/>
      <c r="Q187" s="5">
        <v>105</v>
      </c>
      <c r="R187" s="5">
        <v>1</v>
      </c>
      <c r="S187" s="5"/>
      <c r="T187" s="5">
        <v>105</v>
      </c>
      <c r="U187" s="5"/>
      <c r="V187" s="5">
        <v>105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492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2">
      <c r="A188" s="5" t="str">
        <f>Column!$C188&amp;"_"&amp;Column!$G188</f>
        <v>OutgoingMails_Bcc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78</v>
      </c>
      <c r="H188" s="5" t="s">
        <v>733</v>
      </c>
      <c r="I188" s="5">
        <v>106</v>
      </c>
      <c r="J188" s="5">
        <v>106</v>
      </c>
      <c r="K188" s="5"/>
      <c r="L188" s="5"/>
      <c r="M188" s="5"/>
      <c r="N188" s="5"/>
      <c r="O188" s="5"/>
      <c r="P188" s="5"/>
      <c r="Q188" s="5">
        <v>106</v>
      </c>
      <c r="R188" s="5">
        <v>1</v>
      </c>
      <c r="S188" s="5"/>
      <c r="T188" s="5">
        <v>106</v>
      </c>
      <c r="U188" s="5"/>
      <c r="V188" s="5">
        <v>106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491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2">
      <c r="A189" s="5" t="str">
        <f>Column!$C189&amp;"_"&amp;Column!$G189</f>
        <v>OutgoingMails_Title</v>
      </c>
      <c r="B189" s="5" t="s">
        <v>134</v>
      </c>
      <c r="C189" s="5" t="s">
        <v>190</v>
      </c>
      <c r="D189" s="5"/>
      <c r="E189" s="5"/>
      <c r="F189" s="5" t="s">
        <v>230</v>
      </c>
      <c r="G189" s="5" t="s">
        <v>206</v>
      </c>
      <c r="H189" s="5" t="s">
        <v>734</v>
      </c>
      <c r="I189" s="5">
        <v>107</v>
      </c>
      <c r="J189" s="5">
        <v>107</v>
      </c>
      <c r="K189" s="5"/>
      <c r="L189" s="5"/>
      <c r="M189" s="5"/>
      <c r="N189" s="5"/>
      <c r="O189" s="5"/>
      <c r="P189" s="5"/>
      <c r="Q189" s="5">
        <v>107</v>
      </c>
      <c r="R189" s="5">
        <v>1</v>
      </c>
      <c r="S189" s="5"/>
      <c r="T189" s="5">
        <v>107</v>
      </c>
      <c r="U189" s="5"/>
      <c r="V189" s="5">
        <v>107</v>
      </c>
      <c r="W189" s="5"/>
      <c r="X189" s="5"/>
      <c r="Y189" s="5" t="s">
        <v>79</v>
      </c>
      <c r="Z189" s="5" t="s">
        <v>249</v>
      </c>
      <c r="AA189" s="5" t="s">
        <v>250</v>
      </c>
      <c r="AB189" s="5">
        <v>1024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808</v>
      </c>
      <c r="BJ189" s="5"/>
      <c r="BK189" s="5" t="s">
        <v>362</v>
      </c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2">
      <c r="A190" s="5" t="str">
        <f>Column!$C190&amp;"_"&amp;Column!$G190</f>
        <v>OutgoingMails_Body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72</v>
      </c>
      <c r="H190" s="5" t="s">
        <v>735</v>
      </c>
      <c r="I190" s="5">
        <v>108</v>
      </c>
      <c r="J190" s="5">
        <v>108</v>
      </c>
      <c r="K190" s="5"/>
      <c r="L190" s="5"/>
      <c r="M190" s="5"/>
      <c r="N190" s="5"/>
      <c r="O190" s="5"/>
      <c r="P190" s="5"/>
      <c r="Q190" s="5">
        <v>108</v>
      </c>
      <c r="R190" s="5">
        <v>1</v>
      </c>
      <c r="S190" s="5"/>
      <c r="T190" s="5">
        <v>108</v>
      </c>
      <c r="U190" s="5"/>
      <c r="V190" s="5">
        <v>108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2">
      <c r="A191" s="5" t="str">
        <f>Column!$C191&amp;"_"&amp;Column!$G191</f>
        <v>OutgoingMails_SentTime</v>
      </c>
      <c r="B191" s="5" t="s">
        <v>134</v>
      </c>
      <c r="C191" s="5" t="s">
        <v>135</v>
      </c>
      <c r="D191" s="5"/>
      <c r="E191" s="5"/>
      <c r="F191" s="5" t="s">
        <v>230</v>
      </c>
      <c r="G191" s="5" t="s">
        <v>187</v>
      </c>
      <c r="H191" s="5" t="s">
        <v>736</v>
      </c>
      <c r="I191" s="5">
        <v>109</v>
      </c>
      <c r="J191" s="5">
        <v>109</v>
      </c>
      <c r="K191" s="5"/>
      <c r="L191" s="5"/>
      <c r="M191" s="5"/>
      <c r="N191" s="5"/>
      <c r="O191" s="5"/>
      <c r="P191" s="5"/>
      <c r="Q191" s="5">
        <v>109</v>
      </c>
      <c r="R191" s="5">
        <v>1</v>
      </c>
      <c r="S191" s="5"/>
      <c r="T191" s="5">
        <v>109</v>
      </c>
      <c r="U191" s="5"/>
      <c r="V191" s="5">
        <v>109</v>
      </c>
      <c r="W191" s="5"/>
      <c r="X191" s="5"/>
      <c r="Y191" s="5" t="s">
        <v>188</v>
      </c>
      <c r="Z191" s="5" t="s">
        <v>205</v>
      </c>
      <c r="AA191" s="5" t="s">
        <v>204</v>
      </c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 t="s">
        <v>284</v>
      </c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 t="s">
        <v>371</v>
      </c>
      <c r="CE191" s="5" t="s">
        <v>371</v>
      </c>
      <c r="CF191" s="5" t="s">
        <v>371</v>
      </c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2">
      <c r="A192" s="5" t="str">
        <f>Column!$C192&amp;"_"&amp;Column!$G192</f>
        <v>OutgoingMails_DestinationSearchRange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308</v>
      </c>
      <c r="H192" s="5" t="s">
        <v>737</v>
      </c>
      <c r="I192" s="5">
        <v>110</v>
      </c>
      <c r="J192" s="5">
        <v>110</v>
      </c>
      <c r="K192" s="5"/>
      <c r="L192" s="5"/>
      <c r="M192" s="5"/>
      <c r="N192" s="5"/>
      <c r="O192" s="5"/>
      <c r="P192" s="5"/>
      <c r="Q192" s="5">
        <v>110</v>
      </c>
      <c r="R192" s="5">
        <v>1</v>
      </c>
      <c r="S192" s="5"/>
      <c r="T192" s="5">
        <v>110</v>
      </c>
      <c r="U192" s="5"/>
      <c r="V192" s="5">
        <v>110</v>
      </c>
      <c r="W192" s="5"/>
      <c r="X192" s="5"/>
      <c r="Y192" s="5" t="s">
        <v>43</v>
      </c>
      <c r="Z192" s="5"/>
      <c r="AA192" s="5"/>
      <c r="AB192" s="5">
        <v>256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/>
      <c r="BF192" s="5"/>
      <c r="BG192" s="5">
        <v>1</v>
      </c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2">
      <c r="A193" s="5" t="str">
        <f>Column!$C193&amp;"_"&amp;Column!$G193</f>
        <v>OutgoingMails_DestinationSearchText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309</v>
      </c>
      <c r="H193" s="5" t="s">
        <v>738</v>
      </c>
      <c r="I193" s="5">
        <v>111</v>
      </c>
      <c r="J193" s="5">
        <v>111</v>
      </c>
      <c r="K193" s="5"/>
      <c r="L193" s="5"/>
      <c r="M193" s="5"/>
      <c r="N193" s="5"/>
      <c r="O193" s="5"/>
      <c r="P193" s="5"/>
      <c r="Q193" s="5">
        <v>111</v>
      </c>
      <c r="R193" s="5">
        <v>1</v>
      </c>
      <c r="S193" s="5"/>
      <c r="T193" s="5">
        <v>111</v>
      </c>
      <c r="U193" s="5"/>
      <c r="V193" s="5">
        <v>111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2">
      <c r="A194" s="5" t="str">
        <f>Column!$C194&amp;"_"&amp;Column!$G194</f>
        <v>SearchIndexes_Word</v>
      </c>
      <c r="B194" s="5" t="s">
        <v>405</v>
      </c>
      <c r="C194" s="5" t="s">
        <v>407</v>
      </c>
      <c r="D194" s="5"/>
      <c r="E194" s="5"/>
      <c r="F194" s="5" t="s">
        <v>406</v>
      </c>
      <c r="G194" s="5" t="s">
        <v>378</v>
      </c>
      <c r="H194" s="5" t="s">
        <v>739</v>
      </c>
      <c r="I194" s="5">
        <v>1</v>
      </c>
      <c r="J194" s="5">
        <v>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</v>
      </c>
      <c r="U194" s="5"/>
      <c r="V194" s="5">
        <v>1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>
        <v>1</v>
      </c>
      <c r="AE194" s="5"/>
      <c r="AF194" s="5">
        <v>1</v>
      </c>
      <c r="AG194" s="5"/>
      <c r="AH194" s="5">
        <v>2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2">
      <c r="A195" s="5" t="str">
        <f>Column!$C195&amp;"_"&amp;Column!$G195</f>
        <v>SearchIndexes_ReferenceId</v>
      </c>
      <c r="B195" s="5" t="s">
        <v>405</v>
      </c>
      <c r="C195" s="5" t="s">
        <v>407</v>
      </c>
      <c r="D195" s="5"/>
      <c r="E195" s="5"/>
      <c r="F195" s="5" t="s">
        <v>406</v>
      </c>
      <c r="G195" s="5" t="s">
        <v>379</v>
      </c>
      <c r="H195" s="5" t="s">
        <v>723</v>
      </c>
      <c r="I195" s="5">
        <v>2</v>
      </c>
      <c r="J195" s="5">
        <v>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2</v>
      </c>
      <c r="U195" s="5"/>
      <c r="V195" s="5">
        <v>2</v>
      </c>
      <c r="W195" s="5"/>
      <c r="X195" s="5"/>
      <c r="Y195" s="5" t="s">
        <v>30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>
        <v>1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2">
      <c r="A196" s="5" t="str">
        <f>Column!$C196&amp;"_"&amp;Column!$G196</f>
        <v>SearchIndexes_Priority</v>
      </c>
      <c r="B196" s="5" t="s">
        <v>405</v>
      </c>
      <c r="C196" s="5" t="s">
        <v>407</v>
      </c>
      <c r="D196" s="5"/>
      <c r="E196" s="5"/>
      <c r="F196" s="5" t="s">
        <v>406</v>
      </c>
      <c r="G196" s="5" t="s">
        <v>381</v>
      </c>
      <c r="H196" s="5" t="s">
        <v>740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101</v>
      </c>
      <c r="U196" s="5"/>
      <c r="V196" s="5">
        <v>101</v>
      </c>
      <c r="W196" s="5"/>
      <c r="X196" s="5"/>
      <c r="Y196" s="5" t="s">
        <v>380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>
        <v>1</v>
      </c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2">
      <c r="A197" s="5" t="str">
        <f>Column!$C197&amp;"_"&amp;Column!$G197</f>
        <v>SearchIndexes_ReferenceType</v>
      </c>
      <c r="B197" s="5" t="s">
        <v>405</v>
      </c>
      <c r="C197" s="5" t="s">
        <v>407</v>
      </c>
      <c r="D197" s="5"/>
      <c r="E197" s="5"/>
      <c r="F197" s="5" t="s">
        <v>406</v>
      </c>
      <c r="G197" s="5" t="s">
        <v>288</v>
      </c>
      <c r="H197" s="5" t="s">
        <v>725</v>
      </c>
      <c r="I197" s="5">
        <v>103</v>
      </c>
      <c r="J197" s="5">
        <v>103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103</v>
      </c>
      <c r="U197" s="5"/>
      <c r="V197" s="5">
        <v>103</v>
      </c>
      <c r="W197" s="5"/>
      <c r="X197" s="5"/>
      <c r="Y197" s="5" t="s">
        <v>3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 t="s">
        <v>500</v>
      </c>
      <c r="AU197" s="5" t="s">
        <v>345</v>
      </c>
      <c r="AV197" s="5" t="s">
        <v>494</v>
      </c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2">
      <c r="A198" s="5" t="str">
        <f>Column!$C198&amp;"_"&amp;Column!$G198</f>
        <v>SearchIndexes_Title</v>
      </c>
      <c r="B198" s="5" t="s">
        <v>405</v>
      </c>
      <c r="C198" s="5" t="s">
        <v>407</v>
      </c>
      <c r="D198" s="5"/>
      <c r="E198" s="5"/>
      <c r="F198" s="5" t="s">
        <v>406</v>
      </c>
      <c r="G198" s="5" t="s">
        <v>396</v>
      </c>
      <c r="H198" s="5" t="s">
        <v>621</v>
      </c>
      <c r="I198" s="5">
        <v>104</v>
      </c>
      <c r="J198" s="5">
        <v>104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104</v>
      </c>
      <c r="U198" s="5"/>
      <c r="V198" s="5">
        <v>104</v>
      </c>
      <c r="W198" s="5"/>
      <c r="X198" s="5"/>
      <c r="Y198" s="5" t="s">
        <v>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 t="s">
        <v>500</v>
      </c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2">
      <c r="A199" s="5" t="str">
        <f>Column!$C199&amp;"_"&amp;Column!$G199</f>
        <v>SearchIndexes_Subset</v>
      </c>
      <c r="B199" s="5" t="s">
        <v>405</v>
      </c>
      <c r="C199" s="5" t="s">
        <v>407</v>
      </c>
      <c r="D199" s="5"/>
      <c r="E199" s="5"/>
      <c r="F199" s="5" t="s">
        <v>406</v>
      </c>
      <c r="G199" s="5" t="s">
        <v>382</v>
      </c>
      <c r="H199" s="5" t="s">
        <v>741</v>
      </c>
      <c r="I199" s="5">
        <v>105</v>
      </c>
      <c r="J199" s="5">
        <v>105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105</v>
      </c>
      <c r="U199" s="5"/>
      <c r="V199" s="5">
        <v>105</v>
      </c>
      <c r="W199" s="5"/>
      <c r="X199" s="5"/>
      <c r="Y199" s="5" t="s">
        <v>3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 t="s">
        <v>500</v>
      </c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2">
      <c r="A200" s="5" t="str">
        <f>Column!$C200&amp;"_"&amp;Column!$G200</f>
        <v>SearchIndexes_InheritPermission</v>
      </c>
      <c r="B200" s="5" t="s">
        <v>405</v>
      </c>
      <c r="C200" s="5" t="s">
        <v>407</v>
      </c>
      <c r="D200" s="5"/>
      <c r="E200" s="5"/>
      <c r="F200" s="5" t="s">
        <v>406</v>
      </c>
      <c r="G200" s="5" t="s">
        <v>560</v>
      </c>
      <c r="H200" s="5" t="s">
        <v>742</v>
      </c>
      <c r="I200" s="5">
        <v>106</v>
      </c>
      <c r="J200" s="5">
        <v>106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106</v>
      </c>
      <c r="U200" s="5"/>
      <c r="V200" s="5">
        <v>106</v>
      </c>
      <c r="W200" s="5"/>
      <c r="X200" s="5"/>
      <c r="Y200" s="5" t="s">
        <v>559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 t="s">
        <v>561</v>
      </c>
      <c r="AU200" s="5" t="s">
        <v>345</v>
      </c>
      <c r="AV200" s="5" t="s">
        <v>562</v>
      </c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2">
      <c r="A201" s="5" t="str">
        <f>Column!$C201&amp;"_"&amp;Column!$G201</f>
        <v>Items_ReferenceId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340</v>
      </c>
      <c r="H201" s="5" t="s">
        <v>723</v>
      </c>
      <c r="I201" s="5">
        <v>1</v>
      </c>
      <c r="J201" s="5">
        <v>1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1</v>
      </c>
      <c r="U201" s="5"/>
      <c r="V201" s="5">
        <v>1</v>
      </c>
      <c r="W201" s="5"/>
      <c r="X201" s="5"/>
      <c r="Y201" s="5" t="s">
        <v>30</v>
      </c>
      <c r="Z201" s="5"/>
      <c r="AA201" s="5"/>
      <c r="AB201" s="5"/>
      <c r="AC201" s="5"/>
      <c r="AD201" s="5">
        <v>1</v>
      </c>
      <c r="AE201" s="5"/>
      <c r="AF201" s="5">
        <v>1</v>
      </c>
      <c r="AG201" s="5"/>
      <c r="AH201" s="5">
        <v>2</v>
      </c>
      <c r="AI201" s="5"/>
      <c r="AJ201" s="5">
        <v>2</v>
      </c>
      <c r="AK201" s="5"/>
      <c r="AL201" s="5">
        <v>3</v>
      </c>
      <c r="AM201" s="5"/>
      <c r="AN201" s="5"/>
      <c r="AO201" s="5"/>
      <c r="AP201" s="5"/>
      <c r="AQ201" s="5">
        <v>1</v>
      </c>
      <c r="AR201" s="5"/>
      <c r="AS201" s="5">
        <v>1</v>
      </c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 t="s">
        <v>113</v>
      </c>
      <c r="CC201" s="5">
        <v>1</v>
      </c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2">
      <c r="A202" s="5" t="str">
        <f>Column!$C202&amp;"_"&amp;Column!$G202</f>
        <v>Items_ReferenceType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288</v>
      </c>
      <c r="H202" s="5" t="s">
        <v>725</v>
      </c>
      <c r="I202" s="5">
        <v>101</v>
      </c>
      <c r="J202" s="5">
        <v>101</v>
      </c>
      <c r="K202" s="5"/>
      <c r="L202" s="5"/>
      <c r="M202" s="5"/>
      <c r="N202" s="5"/>
      <c r="O202" s="5"/>
      <c r="P202" s="5"/>
      <c r="Q202" s="5">
        <v>101</v>
      </c>
      <c r="R202" s="5">
        <v>1</v>
      </c>
      <c r="S202" s="5"/>
      <c r="T202" s="5">
        <v>101</v>
      </c>
      <c r="U202" s="5"/>
      <c r="V202" s="5">
        <v>101</v>
      </c>
      <c r="W202" s="5"/>
      <c r="X202" s="5"/>
      <c r="Y202" s="5" t="s">
        <v>3</v>
      </c>
      <c r="Z202" s="5"/>
      <c r="AA202" s="5"/>
      <c r="AB202" s="5">
        <v>32</v>
      </c>
      <c r="AC202" s="5"/>
      <c r="AD202" s="5"/>
      <c r="AE202" s="5"/>
      <c r="AF202" s="5"/>
      <c r="AG202" s="5"/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2">
      <c r="A203" s="5" t="str">
        <f>Column!$C203&amp;"_"&amp;Column!$G203</f>
        <v>Items_SiteId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183</v>
      </c>
      <c r="H203" s="5" t="s">
        <v>619</v>
      </c>
      <c r="I203" s="5">
        <v>102</v>
      </c>
      <c r="J203" s="5">
        <v>102</v>
      </c>
      <c r="K203" s="5"/>
      <c r="L203" s="5"/>
      <c r="M203" s="5"/>
      <c r="N203" s="5"/>
      <c r="O203" s="5"/>
      <c r="P203" s="5"/>
      <c r="Q203" s="5">
        <v>102</v>
      </c>
      <c r="R203" s="5">
        <v>1</v>
      </c>
      <c r="S203" s="5"/>
      <c r="T203" s="5">
        <v>102</v>
      </c>
      <c r="U203" s="5"/>
      <c r="V203" s="5">
        <v>102</v>
      </c>
      <c r="W203" s="5"/>
      <c r="X203" s="5"/>
      <c r="Y203" s="5" t="s">
        <v>184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>
        <v>1</v>
      </c>
      <c r="AK203" s="5"/>
      <c r="AL203" s="5"/>
      <c r="AM203" s="5"/>
      <c r="AN203" s="5"/>
      <c r="AO203" s="5">
        <v>0</v>
      </c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2">
      <c r="A204" s="5" t="str">
        <f>Column!$C204&amp;"_"&amp;Column!$G204</f>
        <v>Items_Title</v>
      </c>
      <c r="B204" s="5" t="s">
        <v>176</v>
      </c>
      <c r="C204" s="5" t="s">
        <v>177</v>
      </c>
      <c r="D204" s="5"/>
      <c r="E204" s="5"/>
      <c r="F204" s="5" t="s">
        <v>229</v>
      </c>
      <c r="G204" s="5" t="s">
        <v>392</v>
      </c>
      <c r="H204" s="5" t="s">
        <v>621</v>
      </c>
      <c r="I204" s="5">
        <v>103</v>
      </c>
      <c r="J204" s="5">
        <v>103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103</v>
      </c>
      <c r="U204" s="5"/>
      <c r="V204" s="5">
        <v>103</v>
      </c>
      <c r="W204" s="5"/>
      <c r="X204" s="5"/>
      <c r="Y204" s="5" t="s">
        <v>3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>
        <v>1</v>
      </c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2">
      <c r="A205" s="5" t="str">
        <f>Column!$C205&amp;"_"&amp;Column!$G205</f>
        <v>Items_Site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185</v>
      </c>
      <c r="H205" s="5" t="s">
        <v>217</v>
      </c>
      <c r="I205" s="5">
        <v>104</v>
      </c>
      <c r="J205" s="5">
        <v>104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104</v>
      </c>
      <c r="U205" s="5"/>
      <c r="V205" s="5">
        <v>104</v>
      </c>
      <c r="W205" s="5"/>
      <c r="X205" s="5"/>
      <c r="Y205" s="5" t="s">
        <v>186</v>
      </c>
      <c r="Z205" s="5" t="s">
        <v>186</v>
      </c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 t="s">
        <v>211</v>
      </c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/>
      <c r="BF205" s="5">
        <v>1</v>
      </c>
      <c r="BG205" s="5">
        <v>1</v>
      </c>
      <c r="BH205" s="5">
        <v>1</v>
      </c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</row>
    <row r="206" spans="1:109" x14ac:dyDescent="0.2">
      <c r="A206" s="5" t="str">
        <f>Column!$C206&amp;"_"&amp;Column!$G206</f>
        <v>Items_FullText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558</v>
      </c>
      <c r="H206" s="5" t="s">
        <v>743</v>
      </c>
      <c r="I206" s="5">
        <v>105</v>
      </c>
      <c r="J206" s="5">
        <v>105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105</v>
      </c>
      <c r="U206" s="5"/>
      <c r="V206" s="5">
        <v>105</v>
      </c>
      <c r="W206" s="5"/>
      <c r="X206" s="5"/>
      <c r="Y206" s="5" t="s">
        <v>3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2">
      <c r="A207" s="5" t="str">
        <f>Column!$C207&amp;"_"&amp;Column!$G207</f>
        <v>Items_SearchIndexCreatedTime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546</v>
      </c>
      <c r="H207" s="5" t="s">
        <v>744</v>
      </c>
      <c r="I207" s="5">
        <v>106</v>
      </c>
      <c r="J207" s="5">
        <v>106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106</v>
      </c>
      <c r="U207" s="5"/>
      <c r="V207" s="5">
        <v>106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>
        <v>1</v>
      </c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2">
      <c r="A208" s="5" t="str">
        <f>Column!$C208&amp;"_"&amp;Column!$G208</f>
        <v>Items_UpdatedTime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547</v>
      </c>
      <c r="H208" s="5" t="s">
        <v>745</v>
      </c>
      <c r="I208" s="5">
        <v>990</v>
      </c>
      <c r="J208" s="5">
        <v>990</v>
      </c>
      <c r="K208" s="5"/>
      <c r="L208" s="5">
        <v>990</v>
      </c>
      <c r="M208" s="5">
        <v>990</v>
      </c>
      <c r="N208" s="5">
        <v>990</v>
      </c>
      <c r="O208" s="5">
        <v>990</v>
      </c>
      <c r="P208" s="5"/>
      <c r="Q208" s="5">
        <v>990</v>
      </c>
      <c r="R208" s="5"/>
      <c r="S208" s="5"/>
      <c r="T208" s="5">
        <v>990</v>
      </c>
      <c r="U208" s="5">
        <v>1</v>
      </c>
      <c r="V208" s="5">
        <v>3</v>
      </c>
      <c r="W208" s="5">
        <v>1</v>
      </c>
      <c r="X208" s="5"/>
      <c r="Y208" s="5" t="s">
        <v>8</v>
      </c>
      <c r="Z208" s="5" t="s">
        <v>205</v>
      </c>
      <c r="AA208" s="5" t="s">
        <v>204</v>
      </c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>
        <v>2</v>
      </c>
      <c r="AM208" s="5"/>
      <c r="AN208" s="5"/>
      <c r="AO208" s="5" t="s">
        <v>213</v>
      </c>
      <c r="AP208" s="5" t="s">
        <v>211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>
        <v>200</v>
      </c>
      <c r="BF208" s="5">
        <v>1</v>
      </c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>
        <v>1</v>
      </c>
      <c r="CB208" s="5"/>
      <c r="CC208" s="5"/>
      <c r="CD208" s="5" t="s">
        <v>370</v>
      </c>
      <c r="CE208" s="5" t="s">
        <v>371</v>
      </c>
      <c r="CF208" s="5" t="s">
        <v>371</v>
      </c>
      <c r="CG208" s="5"/>
      <c r="CH208" s="5">
        <v>1</v>
      </c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2">
      <c r="A209" s="5" t="str">
        <f>Column!$C209&amp;"_"&amp;Column!$G209</f>
        <v>Sites_TenantId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267</v>
      </c>
      <c r="H209" s="5" t="s">
        <v>646</v>
      </c>
      <c r="I209" s="5">
        <v>1</v>
      </c>
      <c r="J209" s="5">
        <v>1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</v>
      </c>
      <c r="U209" s="5"/>
      <c r="V209" s="5">
        <v>1</v>
      </c>
      <c r="W209" s="5"/>
      <c r="X209" s="5"/>
      <c r="Y209" s="5" t="s">
        <v>1</v>
      </c>
      <c r="Z209" s="5"/>
      <c r="AA209" s="5"/>
      <c r="AB209" s="5"/>
      <c r="AC209" s="5"/>
      <c r="AD209" s="5">
        <v>1</v>
      </c>
      <c r="AE209" s="5"/>
      <c r="AF209" s="5">
        <v>1</v>
      </c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>
        <v>1</v>
      </c>
      <c r="BR209" s="5">
        <v>1</v>
      </c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2">
      <c r="A210" s="5" t="str">
        <f>Column!$C210&amp;"_"&amp;Column!$G210</f>
        <v>Sites_SiteId</v>
      </c>
      <c r="B210" s="6" t="s">
        <v>29</v>
      </c>
      <c r="C210" s="5" t="s">
        <v>132</v>
      </c>
      <c r="D210" s="5"/>
      <c r="E210" s="5"/>
      <c r="F210" s="5" t="s">
        <v>217</v>
      </c>
      <c r="G210" s="5" t="s">
        <v>101</v>
      </c>
      <c r="H210" s="5" t="s">
        <v>619</v>
      </c>
      <c r="I210" s="5">
        <v>2</v>
      </c>
      <c r="J210" s="5">
        <v>2</v>
      </c>
      <c r="K210" s="5"/>
      <c r="L210" s="5"/>
      <c r="M210" s="5">
        <v>1</v>
      </c>
      <c r="N210" s="5"/>
      <c r="O210" s="5"/>
      <c r="P210" s="5"/>
      <c r="Q210" s="5">
        <v>2</v>
      </c>
      <c r="R210" s="5">
        <v>1</v>
      </c>
      <c r="S210" s="5"/>
      <c r="T210" s="5">
        <v>2</v>
      </c>
      <c r="U210" s="5"/>
      <c r="V210" s="5">
        <v>2</v>
      </c>
      <c r="W210" s="5"/>
      <c r="X210" s="5"/>
      <c r="Y210" s="5" t="s">
        <v>0</v>
      </c>
      <c r="Z210" s="5"/>
      <c r="AA210" s="5"/>
      <c r="AB210" s="5"/>
      <c r="AC210" s="5"/>
      <c r="AD210" s="5">
        <v>2</v>
      </c>
      <c r="AE210" s="5"/>
      <c r="AF210" s="5">
        <v>2</v>
      </c>
      <c r="AG210" s="5"/>
      <c r="AH210" s="5">
        <v>2</v>
      </c>
      <c r="AI210" s="5"/>
      <c r="AJ210" s="5">
        <v>1</v>
      </c>
      <c r="AK210" s="5"/>
      <c r="AL210" s="5"/>
      <c r="AM210" s="5"/>
      <c r="AN210" s="5"/>
      <c r="AO210" s="5"/>
      <c r="AP210" s="5"/>
      <c r="AQ210" s="5"/>
      <c r="AR210" s="5">
        <v>1</v>
      </c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>
        <v>1</v>
      </c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>
        <v>10</v>
      </c>
      <c r="BQ210" s="5"/>
      <c r="BR210" s="5"/>
      <c r="BS210" s="5"/>
      <c r="BT210" s="5" t="s">
        <v>512</v>
      </c>
      <c r="BU210" s="5"/>
      <c r="BV210" s="5"/>
      <c r="BW210" s="5"/>
      <c r="BX210" s="5"/>
      <c r="BY210" s="5"/>
      <c r="BZ210" s="5"/>
      <c r="CA210" s="5"/>
      <c r="CB210" s="5" t="s">
        <v>113</v>
      </c>
      <c r="CC210" s="5">
        <v>1</v>
      </c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2">
      <c r="A211" s="5" t="str">
        <f>Column!$C211&amp;"_"&amp;Column!$G211</f>
        <v>Sites_Title</v>
      </c>
      <c r="B211" s="6" t="s">
        <v>29</v>
      </c>
      <c r="C211" s="5" t="s">
        <v>132</v>
      </c>
      <c r="D211" s="5"/>
      <c r="E211" s="5"/>
      <c r="F211" s="5" t="s">
        <v>217</v>
      </c>
      <c r="G211" s="5" t="s">
        <v>64</v>
      </c>
      <c r="H211" s="5" t="s">
        <v>621</v>
      </c>
      <c r="I211" s="5">
        <v>51</v>
      </c>
      <c r="J211" s="5">
        <v>51</v>
      </c>
      <c r="K211" s="5"/>
      <c r="L211" s="5">
        <v>51</v>
      </c>
      <c r="M211" s="5">
        <v>51</v>
      </c>
      <c r="N211" s="5"/>
      <c r="O211" s="5"/>
      <c r="P211" s="5"/>
      <c r="Q211" s="5">
        <v>51</v>
      </c>
      <c r="R211" s="5">
        <v>1</v>
      </c>
      <c r="S211" s="5">
        <v>51</v>
      </c>
      <c r="T211" s="5">
        <v>51</v>
      </c>
      <c r="U211" s="5">
        <v>1</v>
      </c>
      <c r="V211" s="5">
        <v>4</v>
      </c>
      <c r="W211" s="5">
        <v>1</v>
      </c>
      <c r="X211" s="5"/>
      <c r="Y211" s="5" t="s">
        <v>68</v>
      </c>
      <c r="Z211" s="5" t="s">
        <v>64</v>
      </c>
      <c r="AA211" s="5" t="s">
        <v>204</v>
      </c>
      <c r="AB211" s="5">
        <v>1024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>
        <v>1</v>
      </c>
      <c r="AX211" s="5"/>
      <c r="AY211" s="5">
        <v>1</v>
      </c>
      <c r="AZ211" s="5"/>
      <c r="BA211" s="5"/>
      <c r="BB211" s="5"/>
      <c r="BC211" s="5"/>
      <c r="BD211" s="5"/>
      <c r="BE211" s="5">
        <v>4</v>
      </c>
      <c r="BF211" s="5"/>
      <c r="BG211" s="5"/>
      <c r="BH211" s="5"/>
      <c r="BI211" s="5" t="s">
        <v>808</v>
      </c>
      <c r="BJ211" s="5" t="s">
        <v>588</v>
      </c>
      <c r="BK211" s="5" t="s">
        <v>361</v>
      </c>
      <c r="BL211" s="5"/>
      <c r="BM211" s="5"/>
      <c r="BN211" s="5"/>
      <c r="BO211" s="5"/>
      <c r="BP211" s="5">
        <v>1</v>
      </c>
      <c r="BQ211" s="5"/>
      <c r="BR211" s="5"/>
      <c r="BS211" s="5" t="s">
        <v>210</v>
      </c>
      <c r="BT211" s="5" t="s">
        <v>197</v>
      </c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>
        <v>1</v>
      </c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>
        <v>1</v>
      </c>
      <c r="DD211" s="5"/>
      <c r="DE211" s="5"/>
    </row>
    <row r="212" spans="1:109" x14ac:dyDescent="0.2">
      <c r="A212" s="5" t="str">
        <f>Column!$C212&amp;"_"&amp;Column!$G212</f>
        <v>Sites_GridGuide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807</v>
      </c>
      <c r="H212" s="5" t="s">
        <v>805</v>
      </c>
      <c r="I212" s="5">
        <v>101</v>
      </c>
      <c r="J212" s="5">
        <v>101</v>
      </c>
      <c r="K212" s="5"/>
      <c r="L212" s="5"/>
      <c r="M212" s="5"/>
      <c r="N212" s="5"/>
      <c r="O212" s="5"/>
      <c r="P212" s="5"/>
      <c r="Q212" s="5">
        <v>101</v>
      </c>
      <c r="R212" s="5"/>
      <c r="S212" s="5"/>
      <c r="T212" s="5">
        <v>101</v>
      </c>
      <c r="U212" s="5"/>
      <c r="V212" s="5">
        <v>101</v>
      </c>
      <c r="W212" s="5"/>
      <c r="X212" s="5"/>
      <c r="Y212" s="5" t="s">
        <v>3</v>
      </c>
      <c r="Z212" s="5"/>
      <c r="AA212" s="5"/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 t="s">
        <v>557</v>
      </c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2">
      <c r="A213" s="5" t="str">
        <f>Column!$C213&amp;"_"&amp;Column!$G213</f>
        <v>Sites_EditorGuide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804</v>
      </c>
      <c r="H213" s="5" t="s">
        <v>806</v>
      </c>
      <c r="I213" s="5">
        <v>102</v>
      </c>
      <c r="J213" s="5">
        <v>102</v>
      </c>
      <c r="K213" s="5"/>
      <c r="L213" s="5"/>
      <c r="M213" s="5"/>
      <c r="N213" s="5"/>
      <c r="O213" s="5"/>
      <c r="P213" s="5"/>
      <c r="Q213" s="5">
        <v>102</v>
      </c>
      <c r="R213" s="5"/>
      <c r="S213" s="5"/>
      <c r="T213" s="5">
        <v>102</v>
      </c>
      <c r="U213" s="5"/>
      <c r="V213" s="5">
        <v>102</v>
      </c>
      <c r="W213" s="5"/>
      <c r="X213" s="5"/>
      <c r="Y213" s="5" t="s">
        <v>3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 t="s">
        <v>557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2">
      <c r="A214" s="5" t="str">
        <f>Column!$C214&amp;"_"&amp;Column!$G214</f>
        <v>Sites_ReferenceType</v>
      </c>
      <c r="B214" s="5" t="s">
        <v>29</v>
      </c>
      <c r="C214" s="5" t="s">
        <v>132</v>
      </c>
      <c r="D214" s="5"/>
      <c r="E214" s="5"/>
      <c r="F214" s="5" t="s">
        <v>217</v>
      </c>
      <c r="G214" s="5" t="s">
        <v>288</v>
      </c>
      <c r="H214" s="5" t="s">
        <v>746</v>
      </c>
      <c r="I214" s="5">
        <v>103</v>
      </c>
      <c r="J214" s="5">
        <v>103</v>
      </c>
      <c r="K214" s="5"/>
      <c r="L214" s="5"/>
      <c r="M214" s="5"/>
      <c r="N214" s="5"/>
      <c r="O214" s="5"/>
      <c r="P214" s="5"/>
      <c r="Q214" s="5">
        <v>103</v>
      </c>
      <c r="R214" s="5">
        <v>1</v>
      </c>
      <c r="S214" s="5"/>
      <c r="T214" s="5">
        <v>103</v>
      </c>
      <c r="U214" s="5"/>
      <c r="V214" s="5">
        <v>103</v>
      </c>
      <c r="W214" s="5"/>
      <c r="X214" s="5"/>
      <c r="Y214" s="5" t="s">
        <v>3</v>
      </c>
      <c r="Z214" s="5"/>
      <c r="AA214" s="5"/>
      <c r="AB214" s="5">
        <v>32</v>
      </c>
      <c r="AC214" s="5"/>
      <c r="AD214" s="5"/>
      <c r="AE214" s="5"/>
      <c r="AF214" s="5"/>
      <c r="AG214" s="5"/>
      <c r="AH214" s="5">
        <v>1</v>
      </c>
      <c r="AI214" s="5"/>
      <c r="AJ214" s="5"/>
      <c r="AK214" s="5"/>
      <c r="AL214" s="5"/>
      <c r="AM214" s="5"/>
      <c r="AN214" s="5"/>
      <c r="AO214" s="5" t="s">
        <v>132</v>
      </c>
      <c r="AP214" s="5"/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 t="s">
        <v>509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2">
      <c r="A215" s="5" t="str">
        <f>Column!$C215&amp;"_"&amp;Column!$G215</f>
        <v>Sites_ParentId</v>
      </c>
      <c r="B215" s="5" t="s">
        <v>29</v>
      </c>
      <c r="C215" s="5" t="s">
        <v>132</v>
      </c>
      <c r="D215" s="5"/>
      <c r="E215" s="5"/>
      <c r="F215" s="5" t="s">
        <v>217</v>
      </c>
      <c r="G215" s="5" t="s">
        <v>107</v>
      </c>
      <c r="H215" s="5" t="s">
        <v>747</v>
      </c>
      <c r="I215" s="5">
        <v>104</v>
      </c>
      <c r="J215" s="5">
        <v>104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104</v>
      </c>
      <c r="U215" s="5"/>
      <c r="V215" s="5">
        <v>104</v>
      </c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0</v>
      </c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>
        <v>1</v>
      </c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2">
      <c r="A216" s="5" t="str">
        <f>Column!$C216&amp;"_"&amp;Column!$G216</f>
        <v>Sites_InheritPermission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40</v>
      </c>
      <c r="H216" s="5" t="s">
        <v>742</v>
      </c>
      <c r="I216" s="5">
        <v>105</v>
      </c>
      <c r="J216" s="5">
        <v>105</v>
      </c>
      <c r="K216" s="5"/>
      <c r="L216" s="5"/>
      <c r="M216" s="5"/>
      <c r="N216" s="5"/>
      <c r="O216" s="5"/>
      <c r="P216" s="5"/>
      <c r="Q216" s="5">
        <v>105</v>
      </c>
      <c r="R216" s="5">
        <v>1</v>
      </c>
      <c r="S216" s="5"/>
      <c r="T216" s="5">
        <v>105</v>
      </c>
      <c r="U216" s="5"/>
      <c r="V216" s="5">
        <v>105</v>
      </c>
      <c r="W216" s="5"/>
      <c r="X216" s="5"/>
      <c r="Y216" s="5" t="s">
        <v>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2">
      <c r="A217" s="5" t="str">
        <f>Column!$C217&amp;"_"&amp;Column!$G217</f>
        <v>Sites_SiteSettings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161</v>
      </c>
      <c r="H217" s="5" t="s">
        <v>748</v>
      </c>
      <c r="I217" s="5">
        <v>106</v>
      </c>
      <c r="J217" s="5">
        <v>106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106</v>
      </c>
      <c r="U217" s="5"/>
      <c r="V217" s="5">
        <v>106</v>
      </c>
      <c r="W217" s="5"/>
      <c r="X217" s="5"/>
      <c r="Y217" s="5" t="s">
        <v>3</v>
      </c>
      <c r="Z217" s="5" t="s">
        <v>161</v>
      </c>
      <c r="AA217" s="5" t="s">
        <v>597</v>
      </c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>
        <v>1</v>
      </c>
      <c r="BG217" s="5"/>
      <c r="BH217" s="5"/>
      <c r="BI217" s="5"/>
      <c r="BJ217" s="5"/>
      <c r="BK217" s="5" t="s">
        <v>600</v>
      </c>
      <c r="BL217" s="5" t="s">
        <v>803</v>
      </c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>
        <v>1</v>
      </c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2">
      <c r="A218" s="5" t="str">
        <f>Column!$C218&amp;"_"&amp;Column!$G218</f>
        <v>Sites_Publish</v>
      </c>
      <c r="B218" s="6" t="s">
        <v>29</v>
      </c>
      <c r="C218" s="5" t="s">
        <v>132</v>
      </c>
      <c r="D218" s="5"/>
      <c r="E218" s="5"/>
      <c r="F218" s="5" t="s">
        <v>217</v>
      </c>
      <c r="G218" s="5" t="s">
        <v>797</v>
      </c>
      <c r="H218" s="5" t="s">
        <v>798</v>
      </c>
      <c r="I218" s="5">
        <v>107</v>
      </c>
      <c r="J218" s="5">
        <v>107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107</v>
      </c>
      <c r="U218" s="5"/>
      <c r="V218" s="5">
        <v>107</v>
      </c>
      <c r="W218" s="5"/>
      <c r="X218" s="5"/>
      <c r="Y218" s="5" t="s">
        <v>9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2">
      <c r="A219" s="5" t="str">
        <f>Column!$C219&amp;"_"&amp;Column!$G219</f>
        <v>Sites_LockedTime</v>
      </c>
      <c r="B219" s="6" t="s">
        <v>29</v>
      </c>
      <c r="C219" s="5" t="s">
        <v>132</v>
      </c>
      <c r="D219" s="5"/>
      <c r="E219" s="5"/>
      <c r="F219" s="5" t="s">
        <v>217</v>
      </c>
      <c r="G219" s="5" t="s">
        <v>820</v>
      </c>
      <c r="H219" s="5" t="s">
        <v>822</v>
      </c>
      <c r="I219" s="5">
        <v>108</v>
      </c>
      <c r="J219" s="5">
        <v>108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108</v>
      </c>
      <c r="U219" s="5"/>
      <c r="V219" s="5">
        <v>108</v>
      </c>
      <c r="W219" s="5"/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 t="s">
        <v>509</v>
      </c>
      <c r="BC219" s="5" t="s">
        <v>509</v>
      </c>
      <c r="BD219" s="5"/>
      <c r="BE219" s="5"/>
      <c r="BF219" s="5">
        <v>1</v>
      </c>
      <c r="BG219" s="5"/>
      <c r="BH219" s="5"/>
      <c r="BI219" s="5"/>
      <c r="BJ219" s="5"/>
      <c r="BK219" s="5" t="s">
        <v>824</v>
      </c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>
        <v>1</v>
      </c>
      <c r="CB219" s="5"/>
      <c r="CC219" s="5"/>
      <c r="CD219" s="5" t="s">
        <v>370</v>
      </c>
      <c r="CE219" s="5" t="s">
        <v>371</v>
      </c>
      <c r="CF219" s="5" t="s">
        <v>371</v>
      </c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2">
      <c r="A220" s="5" t="str">
        <f>Column!$C220&amp;"_"&amp;Column!$G220</f>
        <v>Sites_LockedUser</v>
      </c>
      <c r="B220" s="6" t="s">
        <v>29</v>
      </c>
      <c r="C220" s="5" t="s">
        <v>132</v>
      </c>
      <c r="D220" s="5"/>
      <c r="E220" s="5"/>
      <c r="F220" s="5" t="s">
        <v>217</v>
      </c>
      <c r="G220" s="5" t="s">
        <v>821</v>
      </c>
      <c r="H220" s="5" t="s">
        <v>823</v>
      </c>
      <c r="I220" s="5">
        <v>109</v>
      </c>
      <c r="J220" s="5">
        <v>109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109</v>
      </c>
      <c r="U220" s="5"/>
      <c r="V220" s="5">
        <v>109</v>
      </c>
      <c r="W220" s="5"/>
      <c r="X220" s="5"/>
      <c r="Y220" s="5" t="s">
        <v>1</v>
      </c>
      <c r="Z220" s="5" t="s">
        <v>334</v>
      </c>
      <c r="AA220" s="5" t="s">
        <v>369</v>
      </c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 t="s">
        <v>509</v>
      </c>
      <c r="BC220" s="5" t="s">
        <v>509</v>
      </c>
      <c r="BD220" s="5"/>
      <c r="BE220" s="5"/>
      <c r="BF220" s="5">
        <v>1</v>
      </c>
      <c r="BG220" s="5"/>
      <c r="BH220" s="5"/>
      <c r="BI220" s="5"/>
      <c r="BJ220" s="5"/>
      <c r="BK220" s="5" t="s">
        <v>825</v>
      </c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>
        <v>1</v>
      </c>
      <c r="BZ220" s="5"/>
      <c r="CA220" s="5"/>
      <c r="CB220" s="7" t="s">
        <v>257</v>
      </c>
      <c r="CC220" s="5"/>
      <c r="CD220" s="5"/>
      <c r="CE220" s="5"/>
      <c r="CF220" s="5"/>
      <c r="CG220" s="5"/>
      <c r="CH220" s="5"/>
      <c r="CI220" s="5" t="s">
        <v>351</v>
      </c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</row>
    <row r="221" spans="1:109" x14ac:dyDescent="0.2">
      <c r="A221" s="5" t="str">
        <f>Column!$C221&amp;"_"&amp;Column!$G221</f>
        <v>Sites_Ancestors</v>
      </c>
      <c r="B221" s="5" t="s">
        <v>29</v>
      </c>
      <c r="C221" s="5" t="s">
        <v>132</v>
      </c>
      <c r="D221" s="5"/>
      <c r="E221" s="5"/>
      <c r="F221" s="5" t="s">
        <v>217</v>
      </c>
      <c r="G221" s="5" t="s">
        <v>41</v>
      </c>
      <c r="H221" s="5" t="s">
        <v>749</v>
      </c>
      <c r="I221" s="5">
        <v>110</v>
      </c>
      <c r="J221" s="5">
        <v>110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110</v>
      </c>
      <c r="U221" s="5"/>
      <c r="V221" s="5">
        <v>110</v>
      </c>
      <c r="W221" s="5"/>
      <c r="X221" s="5"/>
      <c r="Y221" s="5" t="s">
        <v>42</v>
      </c>
      <c r="Z221" s="5" t="s">
        <v>42</v>
      </c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 t="s">
        <v>211</v>
      </c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>
        <v>1</v>
      </c>
      <c r="BG221" s="5">
        <v>1</v>
      </c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</row>
    <row r="222" spans="1:109" x14ac:dyDescent="0.2">
      <c r="A222" s="5" t="str">
        <f>Column!$C222&amp;"_"&amp;Column!$G222</f>
        <v>Sites_SiteMenu</v>
      </c>
      <c r="B222" s="5" t="s">
        <v>29</v>
      </c>
      <c r="C222" s="5" t="s">
        <v>132</v>
      </c>
      <c r="D222" s="5"/>
      <c r="E222" s="5"/>
      <c r="F222" s="5" t="s">
        <v>217</v>
      </c>
      <c r="G222" s="5" t="s">
        <v>319</v>
      </c>
      <c r="H222" s="5" t="s">
        <v>314</v>
      </c>
      <c r="I222" s="5">
        <v>111</v>
      </c>
      <c r="J222" s="5">
        <v>111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111</v>
      </c>
      <c r="U222" s="5"/>
      <c r="V222" s="5">
        <v>111</v>
      </c>
      <c r="W222" s="5"/>
      <c r="X222" s="5"/>
      <c r="Y222" s="5" t="s">
        <v>1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>
        <v>1</v>
      </c>
      <c r="BG222" s="5">
        <v>1</v>
      </c>
      <c r="BH222" s="5">
        <v>1</v>
      </c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2">
      <c r="A223" s="5" t="str">
        <f>Column!$C223&amp;"_"&amp;Column!$G223</f>
        <v>Sites_MonitorChangesColumns</v>
      </c>
      <c r="B223" s="5" t="s">
        <v>29</v>
      </c>
      <c r="C223" s="5" t="s">
        <v>132</v>
      </c>
      <c r="D223" s="5"/>
      <c r="E223" s="5"/>
      <c r="F223" s="5" t="s">
        <v>217</v>
      </c>
      <c r="G223" s="5" t="s">
        <v>453</v>
      </c>
      <c r="H223" s="5" t="s">
        <v>750</v>
      </c>
      <c r="I223" s="5">
        <v>112</v>
      </c>
      <c r="J223" s="5">
        <v>112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112</v>
      </c>
      <c r="U223" s="5"/>
      <c r="V223" s="5">
        <v>112</v>
      </c>
      <c r="W223" s="5"/>
      <c r="X223" s="5"/>
      <c r="Y223" s="5" t="s">
        <v>452</v>
      </c>
      <c r="Z223" s="5" t="s">
        <v>452</v>
      </c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 t="s">
        <v>211</v>
      </c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>
        <v>1</v>
      </c>
      <c r="BG223" s="5">
        <v>1</v>
      </c>
      <c r="BH223" s="5">
        <v>1</v>
      </c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>
        <v>1</v>
      </c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2">
      <c r="A224" s="5" t="str">
        <f>Column!$C224&amp;"_"&amp;Column!$G224</f>
        <v>Sites_TitleColumns</v>
      </c>
      <c r="B224" s="5" t="s">
        <v>29</v>
      </c>
      <c r="C224" s="5" t="s">
        <v>132</v>
      </c>
      <c r="D224" s="5"/>
      <c r="E224" s="5"/>
      <c r="F224" s="5" t="s">
        <v>217</v>
      </c>
      <c r="G224" s="5" t="s">
        <v>461</v>
      </c>
      <c r="H224" s="5" t="s">
        <v>751</v>
      </c>
      <c r="I224" s="5">
        <v>113</v>
      </c>
      <c r="J224" s="5">
        <v>113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113</v>
      </c>
      <c r="U224" s="5"/>
      <c r="V224" s="5">
        <v>113</v>
      </c>
      <c r="W224" s="5"/>
      <c r="X224" s="5"/>
      <c r="Y224" s="5" t="s">
        <v>452</v>
      </c>
      <c r="Z224" s="5" t="s">
        <v>452</v>
      </c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 t="s">
        <v>211</v>
      </c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>
        <v>1</v>
      </c>
      <c r="BG224" s="5">
        <v>1</v>
      </c>
      <c r="BH224" s="5">
        <v>1</v>
      </c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>
        <v>1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</row>
    <row r="225" spans="1:109" x14ac:dyDescent="0.2">
      <c r="A225" s="5" t="str">
        <f>Column!$C225&amp;"_"&amp;Column!$G225</f>
        <v>Sites_Export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224</v>
      </c>
      <c r="H225" s="5" t="s">
        <v>752</v>
      </c>
      <c r="I225" s="5">
        <v>114</v>
      </c>
      <c r="J225" s="5">
        <v>114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114</v>
      </c>
      <c r="U225" s="5"/>
      <c r="V225" s="5">
        <v>114</v>
      </c>
      <c r="W225" s="5"/>
      <c r="X225" s="5"/>
      <c r="Y225" s="5" t="s">
        <v>224</v>
      </c>
      <c r="Z225" s="5" t="s">
        <v>224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211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>
        <v>1</v>
      </c>
      <c r="BG225" s="5">
        <v>1</v>
      </c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>
        <v>1</v>
      </c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2">
      <c r="A226" s="5" t="str">
        <f>Column!$C226&amp;"_"&amp;Column!$G226</f>
        <v>Orders_ReferenceId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289</v>
      </c>
      <c r="H226" s="5" t="s">
        <v>723</v>
      </c>
      <c r="I226" s="5">
        <v>1</v>
      </c>
      <c r="J226" s="5">
        <v>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</v>
      </c>
      <c r="U226" s="5"/>
      <c r="V226" s="5">
        <v>1</v>
      </c>
      <c r="W226" s="5"/>
      <c r="X226" s="5"/>
      <c r="Y226" s="5" t="s">
        <v>30</v>
      </c>
      <c r="Z226" s="5"/>
      <c r="AA226" s="5"/>
      <c r="AB226" s="5"/>
      <c r="AC226" s="5"/>
      <c r="AD226" s="5">
        <v>1</v>
      </c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2">
      <c r="A227" s="5" t="str">
        <f>Column!$C227&amp;"_"&amp;Column!$G227</f>
        <v>Orders_ReferenceType</v>
      </c>
      <c r="B227" s="5" t="s">
        <v>313</v>
      </c>
      <c r="C227" s="5" t="s">
        <v>312</v>
      </c>
      <c r="D227" s="5"/>
      <c r="E227" s="5"/>
      <c r="F227" s="5" t="s">
        <v>314</v>
      </c>
      <c r="G227" s="5" t="s">
        <v>288</v>
      </c>
      <c r="H227" s="5" t="s">
        <v>725</v>
      </c>
      <c r="I227" s="5">
        <v>2</v>
      </c>
      <c r="J227" s="5">
        <v>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2</v>
      </c>
      <c r="U227" s="5"/>
      <c r="V227" s="5">
        <v>2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2</v>
      </c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2">
      <c r="A228" s="5" t="str">
        <f>Column!$C228&amp;"_"&amp;Column!$G228</f>
        <v>Orders_OwnerId</v>
      </c>
      <c r="B228" s="5" t="s">
        <v>313</v>
      </c>
      <c r="C228" s="5" t="s">
        <v>312</v>
      </c>
      <c r="D228" s="5"/>
      <c r="E228" s="5"/>
      <c r="F228" s="5" t="s">
        <v>314</v>
      </c>
      <c r="G228" s="5" t="s">
        <v>175</v>
      </c>
      <c r="H228" s="5" t="s">
        <v>720</v>
      </c>
      <c r="I228" s="5">
        <v>3</v>
      </c>
      <c r="J228" s="5">
        <v>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3</v>
      </c>
      <c r="U228" s="5"/>
      <c r="V228" s="5">
        <v>3</v>
      </c>
      <c r="W228" s="5"/>
      <c r="X228" s="5"/>
      <c r="Y228" s="5" t="s">
        <v>1</v>
      </c>
      <c r="Z228" s="5"/>
      <c r="AA228" s="5"/>
      <c r="AB228" s="5"/>
      <c r="AC228" s="5"/>
      <c r="AD228" s="5">
        <v>3</v>
      </c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7"/>
      <c r="CC228" s="7"/>
      <c r="CD228" s="7"/>
      <c r="CE228" s="7"/>
      <c r="CF228" s="7"/>
      <c r="CG228" s="7"/>
      <c r="CH228" s="7"/>
      <c r="CI228" s="6"/>
      <c r="CJ228" s="6"/>
      <c r="CK228" s="6"/>
      <c r="CL228" s="6"/>
      <c r="CM228" s="6"/>
      <c r="CN228" s="5"/>
      <c r="CO228" s="5"/>
      <c r="CP228" s="5"/>
      <c r="CQ228" s="5"/>
      <c r="CR228" s="5"/>
      <c r="CS228" s="5"/>
      <c r="CT228" s="6"/>
      <c r="CU228" s="6"/>
      <c r="CV228" s="6"/>
      <c r="CW228" s="6"/>
      <c r="CX228" s="6"/>
      <c r="CY228" s="6"/>
      <c r="CZ228" s="6"/>
      <c r="DA228" s="6"/>
      <c r="DB228" s="6"/>
      <c r="DC228" s="5"/>
      <c r="DD228" s="5"/>
      <c r="DE228" s="5"/>
    </row>
    <row r="229" spans="1:109" x14ac:dyDescent="0.2">
      <c r="A229" s="5" t="str">
        <f>Column!$C229&amp;"_"&amp;Column!$G229</f>
        <v>Orders_Data</v>
      </c>
      <c r="B229" s="5" t="s">
        <v>313</v>
      </c>
      <c r="C229" s="5" t="s">
        <v>312</v>
      </c>
      <c r="D229" s="5"/>
      <c r="E229" s="5"/>
      <c r="F229" s="5" t="s">
        <v>314</v>
      </c>
      <c r="G229" s="5" t="s">
        <v>317</v>
      </c>
      <c r="H229" s="5" t="s">
        <v>314</v>
      </c>
      <c r="I229" s="5">
        <v>101</v>
      </c>
      <c r="J229" s="5">
        <v>101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101</v>
      </c>
      <c r="U229" s="5"/>
      <c r="V229" s="5">
        <v>101</v>
      </c>
      <c r="W229" s="5"/>
      <c r="X229" s="5"/>
      <c r="Y229" s="5" t="s">
        <v>315</v>
      </c>
      <c r="Z229" s="5" t="s">
        <v>316</v>
      </c>
      <c r="AA229" s="5" t="s">
        <v>223</v>
      </c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 t="s">
        <v>318</v>
      </c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 t="s">
        <v>572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2">
      <c r="A230" s="5" t="str">
        <f>Column!$C230&amp;"_"&amp;Column!$G230</f>
        <v>ExportSettings_ReferenceType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288</v>
      </c>
      <c r="H230" s="5" t="s">
        <v>725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>
        <v>1</v>
      </c>
      <c r="R230" s="5">
        <v>1</v>
      </c>
      <c r="S230" s="5"/>
      <c r="T230" s="5">
        <v>1</v>
      </c>
      <c r="U230" s="5"/>
      <c r="V230" s="5">
        <v>1</v>
      </c>
      <c r="W230" s="5"/>
      <c r="X230" s="5"/>
      <c r="Y230" s="5" t="s">
        <v>3</v>
      </c>
      <c r="Z230" s="5"/>
      <c r="AA230" s="5"/>
      <c r="AB230" s="5">
        <v>32</v>
      </c>
      <c r="AC230" s="5"/>
      <c r="AD230" s="5">
        <v>1</v>
      </c>
      <c r="AE230" s="5"/>
      <c r="AF230" s="5">
        <v>1</v>
      </c>
      <c r="AG230" s="5"/>
      <c r="AH230" s="5">
        <v>2</v>
      </c>
      <c r="AI230" s="5"/>
      <c r="AJ230" s="5"/>
      <c r="AK230" s="5"/>
      <c r="AL230" s="5"/>
      <c r="AM230" s="5"/>
      <c r="AN230" s="5"/>
      <c r="AO230" s="5" t="s">
        <v>132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2">
      <c r="A231" s="5" t="str">
        <f>Column!$C231&amp;"_"&amp;Column!$G231</f>
        <v>ExportSettings_ReferenceId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289</v>
      </c>
      <c r="H231" s="5" t="s">
        <v>723</v>
      </c>
      <c r="I231" s="5">
        <v>2</v>
      </c>
      <c r="J231" s="5">
        <v>2</v>
      </c>
      <c r="K231" s="5"/>
      <c r="L231" s="5"/>
      <c r="M231" s="5"/>
      <c r="N231" s="5"/>
      <c r="O231" s="5"/>
      <c r="P231" s="5"/>
      <c r="Q231" s="5">
        <v>2</v>
      </c>
      <c r="R231" s="5">
        <v>1</v>
      </c>
      <c r="S231" s="5"/>
      <c r="T231" s="5">
        <v>2</v>
      </c>
      <c r="U231" s="5"/>
      <c r="V231" s="5">
        <v>2</v>
      </c>
      <c r="W231" s="5"/>
      <c r="X231" s="5"/>
      <c r="Y231" s="5" t="s">
        <v>239</v>
      </c>
      <c r="Z231" s="5"/>
      <c r="AA231" s="5"/>
      <c r="AB231" s="5"/>
      <c r="AC231" s="5"/>
      <c r="AD231" s="5">
        <v>2</v>
      </c>
      <c r="AE231" s="5"/>
      <c r="AF231" s="5">
        <v>2</v>
      </c>
      <c r="AG231" s="5"/>
      <c r="AH231" s="5">
        <v>3</v>
      </c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2">
      <c r="A232" s="5" t="str">
        <f>Column!$C232&amp;"_"&amp;Column!$G232</f>
        <v>ExportSettings_Title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238</v>
      </c>
      <c r="H232" s="5" t="s">
        <v>621</v>
      </c>
      <c r="I232" s="5">
        <v>3</v>
      </c>
      <c r="J232" s="5">
        <v>3</v>
      </c>
      <c r="K232" s="5"/>
      <c r="L232" s="5"/>
      <c r="M232" s="5"/>
      <c r="N232" s="5"/>
      <c r="O232" s="5"/>
      <c r="P232" s="5"/>
      <c r="Q232" s="5">
        <v>3</v>
      </c>
      <c r="R232" s="5">
        <v>1</v>
      </c>
      <c r="S232" s="5"/>
      <c r="T232" s="5">
        <v>3</v>
      </c>
      <c r="U232" s="5"/>
      <c r="V232" s="5">
        <v>3</v>
      </c>
      <c r="W232" s="5"/>
      <c r="X232" s="5"/>
      <c r="Y232" s="5" t="s">
        <v>43</v>
      </c>
      <c r="Z232" s="5" t="s">
        <v>249</v>
      </c>
      <c r="AA232" s="5" t="s">
        <v>250</v>
      </c>
      <c r="AB232" s="5">
        <v>1024</v>
      </c>
      <c r="AC232" s="5"/>
      <c r="AD232" s="5">
        <v>3</v>
      </c>
      <c r="AE232" s="5"/>
      <c r="AF232" s="5">
        <v>3</v>
      </c>
      <c r="AG232" s="5"/>
      <c r="AH232" s="5">
        <v>4</v>
      </c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 t="s">
        <v>808</v>
      </c>
      <c r="BJ232" s="5"/>
      <c r="BK232" s="5" t="s">
        <v>361</v>
      </c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2">
      <c r="A233" s="5" t="str">
        <f>Column!$C233&amp;"_"&amp;Column!$G233</f>
        <v>ExportSettings_ExportSettingId</v>
      </c>
      <c r="B233" s="5" t="s">
        <v>227</v>
      </c>
      <c r="C233" s="5" t="s">
        <v>226</v>
      </c>
      <c r="D233" s="5"/>
      <c r="E233" s="5"/>
      <c r="F233" s="5" t="s">
        <v>228</v>
      </c>
      <c r="G233" s="5" t="s">
        <v>241</v>
      </c>
      <c r="H233" s="5" t="s">
        <v>753</v>
      </c>
      <c r="I233" s="5">
        <v>4</v>
      </c>
      <c r="J233" s="5">
        <v>4</v>
      </c>
      <c r="K233" s="5"/>
      <c r="L233" s="5"/>
      <c r="M233" s="5"/>
      <c r="N233" s="5"/>
      <c r="O233" s="5"/>
      <c r="P233" s="5"/>
      <c r="Q233" s="5">
        <v>4</v>
      </c>
      <c r="R233" s="5">
        <v>1</v>
      </c>
      <c r="S233" s="5"/>
      <c r="T233" s="5">
        <v>4</v>
      </c>
      <c r="U233" s="5"/>
      <c r="V233" s="5">
        <v>4</v>
      </c>
      <c r="W233" s="5"/>
      <c r="X233" s="5"/>
      <c r="Y233" s="5" t="s">
        <v>239</v>
      </c>
      <c r="Z233" s="5"/>
      <c r="AA233" s="5"/>
      <c r="AB233" s="5"/>
      <c r="AC233" s="5"/>
      <c r="AD233" s="5">
        <v>4</v>
      </c>
      <c r="AE233" s="5"/>
      <c r="AF233" s="5">
        <v>4</v>
      </c>
      <c r="AG233" s="5"/>
      <c r="AH233" s="5">
        <v>1</v>
      </c>
      <c r="AI233" s="5"/>
      <c r="AJ233" s="5"/>
      <c r="AK233" s="5"/>
      <c r="AL233" s="5"/>
      <c r="AM233" s="5"/>
      <c r="AN233" s="5"/>
      <c r="AO233" s="5"/>
      <c r="AP233" s="5"/>
      <c r="AQ233" s="5">
        <v>1</v>
      </c>
      <c r="AR233" s="5"/>
      <c r="AS233" s="5">
        <v>1</v>
      </c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 t="s">
        <v>113</v>
      </c>
      <c r="CC233" s="5">
        <v>1</v>
      </c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2">
      <c r="A234" s="5" t="str">
        <f>Column!$C234&amp;"_"&amp;Column!$G234</f>
        <v>ExportSettings_AddHeader</v>
      </c>
      <c r="B234" s="5" t="s">
        <v>227</v>
      </c>
      <c r="C234" s="5" t="s">
        <v>226</v>
      </c>
      <c r="D234" s="5"/>
      <c r="E234" s="5"/>
      <c r="F234" s="5" t="s">
        <v>228</v>
      </c>
      <c r="G234" s="5" t="s">
        <v>242</v>
      </c>
      <c r="H234" s="5" t="s">
        <v>754</v>
      </c>
      <c r="I234" s="5">
        <v>101</v>
      </c>
      <c r="J234" s="5">
        <v>101</v>
      </c>
      <c r="K234" s="5"/>
      <c r="L234" s="5"/>
      <c r="M234" s="5"/>
      <c r="N234" s="5"/>
      <c r="O234" s="5"/>
      <c r="P234" s="5"/>
      <c r="Q234" s="5">
        <v>101</v>
      </c>
      <c r="R234" s="5">
        <v>1</v>
      </c>
      <c r="S234" s="5"/>
      <c r="T234" s="5">
        <v>101</v>
      </c>
      <c r="U234" s="5"/>
      <c r="V234" s="5">
        <v>101</v>
      </c>
      <c r="W234" s="5"/>
      <c r="X234" s="5"/>
      <c r="Y234" s="5" t="s">
        <v>244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>
        <v>1</v>
      </c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2">
      <c r="A235" s="5" t="str">
        <f>Column!$C235&amp;"_"&amp;Column!$G235</f>
        <v>ExportSettings_ExportColumns</v>
      </c>
      <c r="B235" s="5" t="s">
        <v>227</v>
      </c>
      <c r="C235" s="5" t="s">
        <v>226</v>
      </c>
      <c r="D235" s="5"/>
      <c r="E235" s="5"/>
      <c r="F235" s="5" t="s">
        <v>228</v>
      </c>
      <c r="G235" s="5" t="s">
        <v>243</v>
      </c>
      <c r="H235" s="5" t="s">
        <v>622</v>
      </c>
      <c r="I235" s="5">
        <v>102</v>
      </c>
      <c r="J235" s="5">
        <v>102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102</v>
      </c>
      <c r="U235" s="5"/>
      <c r="V235" s="5">
        <v>102</v>
      </c>
      <c r="W235" s="5"/>
      <c r="X235" s="5"/>
      <c r="Y235" s="5" t="s">
        <v>240</v>
      </c>
      <c r="Z235" s="5" t="s">
        <v>245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>
        <v>1</v>
      </c>
      <c r="BG235" s="5"/>
      <c r="BH235" s="5"/>
      <c r="BI235" s="5"/>
      <c r="BJ235" s="5"/>
      <c r="BK235" s="5" t="s">
        <v>571</v>
      </c>
      <c r="BL235" s="5" t="s">
        <v>782</v>
      </c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2">
      <c r="A236" s="5" t="str">
        <f>Column!$C236&amp;"_"&amp;Column!$G236</f>
        <v>Links_DestinationId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349</v>
      </c>
      <c r="H236" s="5" t="s">
        <v>755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</v>
      </c>
      <c r="U236" s="5"/>
      <c r="V236" s="5">
        <v>1</v>
      </c>
      <c r="W236" s="5"/>
      <c r="X236" s="5"/>
      <c r="Y236" s="5" t="s">
        <v>344</v>
      </c>
      <c r="Z236" s="5"/>
      <c r="AA236" s="5"/>
      <c r="AB236" s="5"/>
      <c r="AC236" s="5"/>
      <c r="AD236" s="5">
        <v>1</v>
      </c>
      <c r="AE236" s="5"/>
      <c r="AF236" s="5"/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2">
      <c r="A237" s="5" t="str">
        <f>Column!$C237&amp;"_"&amp;Column!$G237</f>
        <v>Links_SourceId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350</v>
      </c>
      <c r="H237" s="5" t="s">
        <v>756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2</v>
      </c>
      <c r="U237" s="5"/>
      <c r="V237" s="5">
        <v>2</v>
      </c>
      <c r="W237" s="5"/>
      <c r="X237" s="5"/>
      <c r="Y237" s="5" t="s">
        <v>344</v>
      </c>
      <c r="Z237" s="5"/>
      <c r="AA237" s="5"/>
      <c r="AB237" s="5"/>
      <c r="AC237" s="5"/>
      <c r="AD237" s="5">
        <v>2</v>
      </c>
      <c r="AE237" s="5"/>
      <c r="AF237" s="5"/>
      <c r="AG237" s="5"/>
      <c r="AH237" s="5">
        <v>1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2">
      <c r="A238" s="5" t="str">
        <f>Column!$C238&amp;"_"&amp;Column!$G238</f>
        <v>Links_ReferenceType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288</v>
      </c>
      <c r="H238" s="5" t="s">
        <v>725</v>
      </c>
      <c r="I238" s="5">
        <v>101</v>
      </c>
      <c r="J238" s="5">
        <v>101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101</v>
      </c>
      <c r="U238" s="5"/>
      <c r="V238" s="5">
        <v>101</v>
      </c>
      <c r="W238" s="5"/>
      <c r="X238" s="5"/>
      <c r="Y238" s="5" t="s">
        <v>3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500</v>
      </c>
      <c r="AU238" s="5" t="s">
        <v>345</v>
      </c>
      <c r="AV238" s="5" t="s">
        <v>497</v>
      </c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2">
      <c r="A239" s="5" t="str">
        <f>Column!$C239&amp;"_"&amp;Column!$G239</f>
        <v>Links_SiteId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384</v>
      </c>
      <c r="H239" s="5" t="s">
        <v>619</v>
      </c>
      <c r="I239" s="5">
        <v>102</v>
      </c>
      <c r="J239" s="5">
        <v>102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102</v>
      </c>
      <c r="U239" s="5"/>
      <c r="V239" s="5">
        <v>102</v>
      </c>
      <c r="W239" s="5"/>
      <c r="X239" s="5"/>
      <c r="Y239" s="5" t="s">
        <v>30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500</v>
      </c>
      <c r="AU239" s="5"/>
      <c r="AV239" s="5"/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2">
      <c r="A240" s="5" t="str">
        <f>Column!$C240&amp;"_"&amp;Column!$G240</f>
        <v>Links_Title</v>
      </c>
      <c r="B240" s="5" t="s">
        <v>343</v>
      </c>
      <c r="C240" s="5" t="s">
        <v>342</v>
      </c>
      <c r="D240" s="5"/>
      <c r="E240" s="5"/>
      <c r="F240" s="5" t="s">
        <v>341</v>
      </c>
      <c r="G240" s="5" t="s">
        <v>397</v>
      </c>
      <c r="H240" s="5" t="s">
        <v>621</v>
      </c>
      <c r="I240" s="5">
        <v>103</v>
      </c>
      <c r="J240" s="5">
        <v>103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103</v>
      </c>
      <c r="U240" s="5"/>
      <c r="V240" s="5">
        <v>103</v>
      </c>
      <c r="W240" s="5"/>
      <c r="X240" s="5"/>
      <c r="Y240" s="5" t="s">
        <v>3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 t="s">
        <v>500</v>
      </c>
      <c r="AU240" s="5"/>
      <c r="AV240" s="5"/>
      <c r="AW240" s="5"/>
      <c r="AX240" s="5"/>
      <c r="AY240" s="5">
        <v>1</v>
      </c>
      <c r="AZ240" s="5"/>
      <c r="BA240" s="5"/>
      <c r="BB240" s="5"/>
      <c r="BC240" s="5"/>
      <c r="BD240" s="5"/>
      <c r="BE240" s="5"/>
      <c r="BF240" s="5"/>
      <c r="BG240" s="5"/>
      <c r="BH240" s="5">
        <v>1</v>
      </c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2">
      <c r="A241" s="5" t="str">
        <f>Column!$C241&amp;"_"&amp;Column!$G241</f>
        <v>Links_Subset</v>
      </c>
      <c r="B241" s="5" t="s">
        <v>343</v>
      </c>
      <c r="C241" s="5" t="s">
        <v>342</v>
      </c>
      <c r="D241" s="5"/>
      <c r="E241" s="5"/>
      <c r="F241" s="5" t="s">
        <v>341</v>
      </c>
      <c r="G241" s="5" t="s">
        <v>383</v>
      </c>
      <c r="H241" s="5" t="s">
        <v>741</v>
      </c>
      <c r="I241" s="5">
        <v>104</v>
      </c>
      <c r="J241" s="5">
        <v>104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104</v>
      </c>
      <c r="U241" s="5"/>
      <c r="V241" s="5">
        <v>104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 t="s">
        <v>500</v>
      </c>
      <c r="AU241" s="5"/>
      <c r="AV241" s="5"/>
      <c r="AW241" s="5"/>
      <c r="AX241" s="5"/>
      <c r="AY241" s="5">
        <v>1</v>
      </c>
      <c r="AZ241" s="5"/>
      <c r="BA241" s="5"/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2">
      <c r="A242" s="5" t="str">
        <f>Column!$C242&amp;"_"&amp;Column!$G242</f>
        <v>Links_SiteTitle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346</v>
      </c>
      <c r="H242" s="5" t="s">
        <v>217</v>
      </c>
      <c r="I242" s="5">
        <v>105</v>
      </c>
      <c r="J242" s="5">
        <v>105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105</v>
      </c>
      <c r="U242" s="5"/>
      <c r="V242" s="5">
        <v>105</v>
      </c>
      <c r="W242" s="5"/>
      <c r="X242" s="5"/>
      <c r="Y242" s="5" t="s">
        <v>3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 t="s">
        <v>132</v>
      </c>
      <c r="AU242" s="5" t="s">
        <v>345</v>
      </c>
      <c r="AV242" s="5" t="s">
        <v>493</v>
      </c>
      <c r="AW242" s="5"/>
      <c r="AX242" s="5"/>
      <c r="AY242" s="5">
        <v>1</v>
      </c>
      <c r="AZ242" s="5"/>
      <c r="BA242" s="5"/>
      <c r="BB242" s="5"/>
      <c r="BC242" s="5"/>
      <c r="BD242" s="5"/>
      <c r="BE242" s="5"/>
      <c r="BF242" s="5"/>
      <c r="BG242" s="5"/>
      <c r="BH242" s="5">
        <v>1</v>
      </c>
      <c r="BI242" s="5"/>
      <c r="BJ242" s="5"/>
      <c r="BK242" s="5"/>
      <c r="BL242" s="5"/>
      <c r="BM242" s="5"/>
      <c r="BN242" s="5" t="s">
        <v>499</v>
      </c>
      <c r="BO242" s="5" t="s">
        <v>499</v>
      </c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2">
      <c r="A243" s="5" t="str">
        <f>Column!$C243&amp;"_"&amp;Column!$G243</f>
        <v>Binaries_BinaryId</v>
      </c>
      <c r="B243" s="5" t="s">
        <v>409</v>
      </c>
      <c r="C243" s="5" t="s">
        <v>410</v>
      </c>
      <c r="D243" s="5"/>
      <c r="E243" s="5"/>
      <c r="F243" s="5" t="s">
        <v>411</v>
      </c>
      <c r="G243" s="5" t="s">
        <v>412</v>
      </c>
      <c r="H243" s="5" t="s">
        <v>757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0</v>
      </c>
      <c r="Z243" s="5"/>
      <c r="AA243" s="5"/>
      <c r="AB243" s="5"/>
      <c r="AC243" s="5"/>
      <c r="AD243" s="5">
        <v>1</v>
      </c>
      <c r="AE243" s="5"/>
      <c r="AF243" s="5">
        <v>2</v>
      </c>
      <c r="AG243" s="5"/>
      <c r="AH243" s="5">
        <v>2</v>
      </c>
      <c r="AI243" s="5"/>
      <c r="AJ243" s="5">
        <v>2</v>
      </c>
      <c r="AK243" s="5"/>
      <c r="AL243" s="5"/>
      <c r="AM243" s="5"/>
      <c r="AN243" s="5"/>
      <c r="AO243" s="5"/>
      <c r="AP243" s="5"/>
      <c r="AQ243" s="5">
        <v>1</v>
      </c>
      <c r="AR243" s="5"/>
      <c r="AS243" s="5">
        <v>1</v>
      </c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 t="s">
        <v>113</v>
      </c>
      <c r="CC243" s="5">
        <v>1</v>
      </c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2">
      <c r="A244" s="5" t="str">
        <f>Column!$C244&amp;"_"&amp;Column!$G244</f>
        <v>Binaries_TenantId</v>
      </c>
      <c r="B244" s="5" t="s">
        <v>409</v>
      </c>
      <c r="C244" s="5" t="s">
        <v>410</v>
      </c>
      <c r="D244" s="5"/>
      <c r="E244" s="5"/>
      <c r="F244" s="5" t="s">
        <v>411</v>
      </c>
      <c r="G244" s="5" t="s">
        <v>267</v>
      </c>
      <c r="H244" s="5" t="s">
        <v>631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 t="s">
        <v>1</v>
      </c>
      <c r="Z244" s="5"/>
      <c r="AA244" s="5"/>
      <c r="AB244" s="5"/>
      <c r="AC244" s="5"/>
      <c r="AD244" s="5"/>
      <c r="AE244" s="5"/>
      <c r="AF244" s="5">
        <v>1</v>
      </c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2">
      <c r="A245" s="5" t="str">
        <f>Column!$C245&amp;"_"&amp;Column!$G245</f>
        <v>Binaries_ReferenceId</v>
      </c>
      <c r="B245" s="5" t="s">
        <v>409</v>
      </c>
      <c r="C245" s="5" t="s">
        <v>410</v>
      </c>
      <c r="D245" s="5"/>
      <c r="E245" s="5"/>
      <c r="F245" s="5" t="s">
        <v>411</v>
      </c>
      <c r="G245" s="5" t="s">
        <v>419</v>
      </c>
      <c r="H245" s="5" t="s">
        <v>723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 t="s">
        <v>0</v>
      </c>
      <c r="Z245" s="5"/>
      <c r="AA245" s="5"/>
      <c r="AB245" s="5"/>
      <c r="AC245" s="5"/>
      <c r="AD245" s="5"/>
      <c r="AE245" s="5"/>
      <c r="AF245" s="5"/>
      <c r="AG245" s="5"/>
      <c r="AH245" s="5">
        <v>1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2">
      <c r="A246" s="5" t="str">
        <f>Column!$C246&amp;"_"&amp;Column!$G246</f>
        <v>Binaries_Guid</v>
      </c>
      <c r="B246" s="5" t="s">
        <v>409</v>
      </c>
      <c r="C246" s="5" t="s">
        <v>410</v>
      </c>
      <c r="D246" s="5"/>
      <c r="E246" s="5"/>
      <c r="F246" s="5" t="s">
        <v>411</v>
      </c>
      <c r="G246" s="5" t="s">
        <v>590</v>
      </c>
      <c r="H246" s="5" t="s">
        <v>758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 t="s">
        <v>3</v>
      </c>
      <c r="Z246" s="5"/>
      <c r="AA246" s="5"/>
      <c r="AB246" s="5">
        <v>32</v>
      </c>
      <c r="AC246" s="5"/>
      <c r="AD246" s="5"/>
      <c r="AE246" s="5"/>
      <c r="AF246" s="5"/>
      <c r="AG246" s="5"/>
      <c r="AH246" s="5"/>
      <c r="AI246" s="5"/>
      <c r="AJ246" s="5">
        <v>1</v>
      </c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2">
      <c r="A247" s="5" t="str">
        <f>Column!$C247&amp;"_"&amp;Column!$G247</f>
        <v>Binaries_BinaryType</v>
      </c>
      <c r="B247" s="5" t="s">
        <v>409</v>
      </c>
      <c r="C247" s="5" t="s">
        <v>410</v>
      </c>
      <c r="D247" s="5"/>
      <c r="E247" s="5"/>
      <c r="F247" s="5" t="s">
        <v>411</v>
      </c>
      <c r="G247" s="5" t="s">
        <v>423</v>
      </c>
      <c r="H247" s="5" t="s">
        <v>759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101</v>
      </c>
      <c r="U247" s="5"/>
      <c r="V247" s="5">
        <v>101</v>
      </c>
      <c r="W247" s="5"/>
      <c r="X247" s="5"/>
      <c r="Y247" s="5" t="s">
        <v>3</v>
      </c>
      <c r="Z247" s="5"/>
      <c r="AA247" s="5"/>
      <c r="AB247" s="5">
        <v>32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2">
      <c r="A248" s="5" t="str">
        <f>Column!$C248&amp;"_"&amp;Column!$G248</f>
        <v>Binaries_Title</v>
      </c>
      <c r="B248" s="5" t="s">
        <v>409</v>
      </c>
      <c r="C248" s="5" t="s">
        <v>410</v>
      </c>
      <c r="D248" s="5"/>
      <c r="E248" s="5"/>
      <c r="F248" s="5" t="s">
        <v>411</v>
      </c>
      <c r="G248" s="5" t="s">
        <v>413</v>
      </c>
      <c r="H248" s="5" t="s">
        <v>621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3</v>
      </c>
      <c r="Z248" s="5" t="s">
        <v>64</v>
      </c>
      <c r="AA248" s="5" t="s">
        <v>204</v>
      </c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 t="s">
        <v>808</v>
      </c>
      <c r="BJ248" s="5"/>
      <c r="BK248" s="5" t="s">
        <v>361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2">
      <c r="A249" s="5" t="str">
        <f>Column!$C249&amp;"_"&amp;Column!$G249</f>
        <v>Binaries_Body</v>
      </c>
      <c r="B249" s="5" t="s">
        <v>409</v>
      </c>
      <c r="C249" s="5" t="s">
        <v>410</v>
      </c>
      <c r="D249" s="5"/>
      <c r="E249" s="5"/>
      <c r="F249" s="5" t="s">
        <v>411</v>
      </c>
      <c r="G249" s="5" t="s">
        <v>414</v>
      </c>
      <c r="H249" s="5" t="s">
        <v>622</v>
      </c>
      <c r="I249" s="5">
        <v>103</v>
      </c>
      <c r="J249" s="5">
        <v>103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103</v>
      </c>
      <c r="U249" s="5"/>
      <c r="V249" s="5">
        <v>103</v>
      </c>
      <c r="W249" s="5"/>
      <c r="X249" s="5"/>
      <c r="Y249" s="5" t="s">
        <v>3</v>
      </c>
      <c r="Z249" s="5"/>
      <c r="AA249" s="5"/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>
        <v>1</v>
      </c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 t="s">
        <v>557</v>
      </c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2">
      <c r="A250" s="5" t="str">
        <f>Column!$C250&amp;"_"&amp;Column!$G250</f>
        <v>Binaries_Bin</v>
      </c>
      <c r="B250" s="5" t="s">
        <v>409</v>
      </c>
      <c r="C250" s="5" t="s">
        <v>410</v>
      </c>
      <c r="D250" s="5"/>
      <c r="E250" s="5"/>
      <c r="F250" s="5" t="s">
        <v>411</v>
      </c>
      <c r="G250" s="5" t="s">
        <v>415</v>
      </c>
      <c r="H250" s="5" t="s">
        <v>411</v>
      </c>
      <c r="I250" s="5">
        <v>104</v>
      </c>
      <c r="J250" s="5">
        <v>104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104</v>
      </c>
      <c r="U250" s="5"/>
      <c r="V250" s="5">
        <v>104</v>
      </c>
      <c r="W250" s="5"/>
      <c r="X250" s="5"/>
      <c r="Y250" s="5" t="s">
        <v>260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 t="s">
        <v>815</v>
      </c>
      <c r="BJ250" s="5"/>
      <c r="BK250" s="5" t="s">
        <v>575</v>
      </c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2">
      <c r="A251" s="5" t="str">
        <f>Column!$C251&amp;"_"&amp;Column!$G251</f>
        <v>Binaries_Thumbnail</v>
      </c>
      <c r="B251" s="5" t="s">
        <v>409</v>
      </c>
      <c r="C251" s="5" t="s">
        <v>410</v>
      </c>
      <c r="D251" s="5"/>
      <c r="E251" s="5"/>
      <c r="F251" s="5" t="s">
        <v>411</v>
      </c>
      <c r="G251" s="5" t="s">
        <v>421</v>
      </c>
      <c r="H251" s="5" t="s">
        <v>760</v>
      </c>
      <c r="I251" s="5">
        <v>105</v>
      </c>
      <c r="J251" s="5">
        <v>105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105</v>
      </c>
      <c r="U251" s="5"/>
      <c r="V251" s="5">
        <v>105</v>
      </c>
      <c r="W251" s="5"/>
      <c r="X251" s="5"/>
      <c r="Y251" s="5" t="s">
        <v>260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 t="s">
        <v>575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2">
      <c r="A252" s="5" t="str">
        <f>Column!$C252&amp;"_"&amp;Column!$G252</f>
        <v>Binaries_Icon</v>
      </c>
      <c r="B252" s="5" t="s">
        <v>409</v>
      </c>
      <c r="C252" s="5" t="s">
        <v>410</v>
      </c>
      <c r="D252" s="5"/>
      <c r="E252" s="5"/>
      <c r="F252" s="5" t="s">
        <v>411</v>
      </c>
      <c r="G252" s="5" t="s">
        <v>422</v>
      </c>
      <c r="H252" s="5" t="s">
        <v>761</v>
      </c>
      <c r="I252" s="5">
        <v>106</v>
      </c>
      <c r="J252" s="5">
        <v>106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106</v>
      </c>
      <c r="U252" s="5"/>
      <c r="V252" s="5">
        <v>106</v>
      </c>
      <c r="W252" s="5"/>
      <c r="X252" s="5"/>
      <c r="Y252" s="5" t="s">
        <v>260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 t="s">
        <v>575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2">
      <c r="A253" s="5" t="str">
        <f>Column!$C253&amp;"_"&amp;Column!$G253</f>
        <v>Binaries_FileName</v>
      </c>
      <c r="B253" s="5" t="s">
        <v>409</v>
      </c>
      <c r="C253" s="5" t="s">
        <v>410</v>
      </c>
      <c r="D253" s="5"/>
      <c r="E253" s="5"/>
      <c r="F253" s="5" t="s">
        <v>411</v>
      </c>
      <c r="G253" s="5" t="s">
        <v>416</v>
      </c>
      <c r="H253" s="5" t="s">
        <v>762</v>
      </c>
      <c r="I253" s="5">
        <v>107</v>
      </c>
      <c r="J253" s="5">
        <v>107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107</v>
      </c>
      <c r="U253" s="5"/>
      <c r="V253" s="5">
        <v>107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2">
      <c r="A254" s="5" t="str">
        <f>Column!$C254&amp;"_"&amp;Column!$G254</f>
        <v>Binaries_Extension</v>
      </c>
      <c r="B254" s="5" t="s">
        <v>409</v>
      </c>
      <c r="C254" s="5" t="s">
        <v>410</v>
      </c>
      <c r="D254" s="5"/>
      <c r="E254" s="5"/>
      <c r="F254" s="5" t="s">
        <v>411</v>
      </c>
      <c r="G254" s="5" t="s">
        <v>417</v>
      </c>
      <c r="H254" s="5" t="s">
        <v>763</v>
      </c>
      <c r="I254" s="5">
        <v>108</v>
      </c>
      <c r="J254" s="5">
        <v>108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108</v>
      </c>
      <c r="U254" s="5"/>
      <c r="V254" s="5">
        <v>108</v>
      </c>
      <c r="W254" s="5"/>
      <c r="X254" s="5"/>
      <c r="Y254" s="5" t="s">
        <v>3</v>
      </c>
      <c r="Z254" s="5"/>
      <c r="AA254" s="5"/>
      <c r="AB254" s="5">
        <v>32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</row>
    <row r="255" spans="1:109" x14ac:dyDescent="0.2">
      <c r="A255" s="5" t="str">
        <f>Column!$C255&amp;"_"&amp;Column!$G255</f>
        <v>Binaries_Size</v>
      </c>
      <c r="B255" s="5" t="s">
        <v>409</v>
      </c>
      <c r="C255" s="5" t="s">
        <v>410</v>
      </c>
      <c r="D255" s="5"/>
      <c r="E255" s="5"/>
      <c r="F255" s="5" t="s">
        <v>411</v>
      </c>
      <c r="G255" s="5" t="s">
        <v>259</v>
      </c>
      <c r="H255" s="5" t="s">
        <v>764</v>
      </c>
      <c r="I255" s="5">
        <v>109</v>
      </c>
      <c r="J255" s="5">
        <v>109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109</v>
      </c>
      <c r="U255" s="5"/>
      <c r="V255" s="5">
        <v>109</v>
      </c>
      <c r="W255" s="5"/>
      <c r="X255" s="5"/>
      <c r="Y255" s="5" t="s">
        <v>0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>
        <v>1</v>
      </c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</row>
    <row r="256" spans="1:109" x14ac:dyDescent="0.2">
      <c r="A256" s="5" t="str">
        <f>Column!$C256&amp;"_"&amp;Column!$G256</f>
        <v>Binaries_ContentType</v>
      </c>
      <c r="B256" s="5" t="s">
        <v>409</v>
      </c>
      <c r="C256" s="5" t="s">
        <v>410</v>
      </c>
      <c r="D256" s="5"/>
      <c r="E256" s="5"/>
      <c r="F256" s="5" t="s">
        <v>411</v>
      </c>
      <c r="G256" s="5" t="s">
        <v>591</v>
      </c>
      <c r="H256" s="5" t="s">
        <v>765</v>
      </c>
      <c r="I256" s="5">
        <v>110</v>
      </c>
      <c r="J256" s="5">
        <v>110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110</v>
      </c>
      <c r="U256" s="5"/>
      <c r="V256" s="5">
        <v>110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>
        <v>1</v>
      </c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</row>
    <row r="257" spans="1:109" x14ac:dyDescent="0.2">
      <c r="A257" s="5" t="str">
        <f>Column!$C257&amp;"_"&amp;Column!$G257</f>
        <v>Binaries_BinarySettings</v>
      </c>
      <c r="B257" s="5" t="s">
        <v>409</v>
      </c>
      <c r="C257" s="5" t="s">
        <v>410</v>
      </c>
      <c r="D257" s="5"/>
      <c r="E257" s="5"/>
      <c r="F257" s="5" t="s">
        <v>411</v>
      </c>
      <c r="G257" s="5" t="s">
        <v>418</v>
      </c>
      <c r="H257" s="5" t="s">
        <v>766</v>
      </c>
      <c r="I257" s="5">
        <v>111</v>
      </c>
      <c r="J257" s="5">
        <v>111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111</v>
      </c>
      <c r="U257" s="5"/>
      <c r="V257" s="5">
        <v>111</v>
      </c>
      <c r="W257" s="5"/>
      <c r="X257" s="5"/>
      <c r="Y257" s="5" t="s">
        <v>3</v>
      </c>
      <c r="Z257" s="5" t="s">
        <v>420</v>
      </c>
      <c r="AA257" s="5" t="s">
        <v>222</v>
      </c>
      <c r="AB257" s="5">
        <v>-1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>
        <v>1</v>
      </c>
      <c r="BG257" s="5"/>
      <c r="BH257" s="5"/>
      <c r="BI257" s="5"/>
      <c r="BJ257" s="5"/>
      <c r="BK257" s="5" t="s">
        <v>570</v>
      </c>
      <c r="BL257" s="5" t="s">
        <v>783</v>
      </c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>
        <v>1</v>
      </c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</row>
    <row r="258" spans="1:109" x14ac:dyDescent="0.2">
      <c r="A258" s="5" t="str">
        <f>Column!$C258&amp;"_"&amp;Column!$G258</f>
        <v>Issues_IssueId</v>
      </c>
      <c r="B258" s="5" t="s">
        <v>37</v>
      </c>
      <c r="C258" s="5" t="s">
        <v>133</v>
      </c>
      <c r="D258" s="5"/>
      <c r="E258" s="5"/>
      <c r="F258" s="5" t="s">
        <v>543</v>
      </c>
      <c r="G258" s="5" t="s">
        <v>108</v>
      </c>
      <c r="H258" s="5" t="s">
        <v>767</v>
      </c>
      <c r="I258" s="5">
        <v>4</v>
      </c>
      <c r="J258" s="5">
        <v>2</v>
      </c>
      <c r="K258" s="5"/>
      <c r="L258" s="5">
        <v>4</v>
      </c>
      <c r="M258" s="5">
        <v>4</v>
      </c>
      <c r="N258" s="5">
        <v>1</v>
      </c>
      <c r="O258" s="5"/>
      <c r="P258" s="5"/>
      <c r="Q258" s="5">
        <v>4</v>
      </c>
      <c r="R258" s="5">
        <v>1</v>
      </c>
      <c r="S258" s="5">
        <v>4</v>
      </c>
      <c r="T258" s="5">
        <v>4</v>
      </c>
      <c r="U258" s="5">
        <v>1</v>
      </c>
      <c r="V258" s="5">
        <v>4</v>
      </c>
      <c r="W258" s="5"/>
      <c r="X258" s="5"/>
      <c r="Y258" s="5" t="s">
        <v>0</v>
      </c>
      <c r="Z258" s="5"/>
      <c r="AA258" s="5"/>
      <c r="AB258" s="5"/>
      <c r="AC258" s="5"/>
      <c r="AD258" s="5">
        <v>10</v>
      </c>
      <c r="AE258" s="5"/>
      <c r="AF258" s="5">
        <v>2</v>
      </c>
      <c r="AG258" s="5"/>
      <c r="AH258" s="5">
        <v>1</v>
      </c>
      <c r="AI258" s="5"/>
      <c r="AJ258" s="5">
        <v>1</v>
      </c>
      <c r="AK258" s="5"/>
      <c r="AL258" s="5"/>
      <c r="AM258" s="5"/>
      <c r="AN258" s="5"/>
      <c r="AO258" s="5"/>
      <c r="AP258" s="5"/>
      <c r="AQ258" s="5"/>
      <c r="AR258" s="5">
        <v>1</v>
      </c>
      <c r="AS258" s="5"/>
      <c r="AT258" s="5"/>
      <c r="AU258" s="5"/>
      <c r="AV258" s="5"/>
      <c r="AW258" s="5"/>
      <c r="AX258" s="5"/>
      <c r="AY258" s="5">
        <v>1</v>
      </c>
      <c r="AZ258" s="5"/>
      <c r="BA258" s="5"/>
      <c r="BB258" s="5"/>
      <c r="BC258" s="5"/>
      <c r="BD258" s="5"/>
      <c r="BE258" s="5">
        <v>1</v>
      </c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>
        <v>20</v>
      </c>
      <c r="BQ258" s="5">
        <v>1</v>
      </c>
      <c r="BR258" s="5"/>
      <c r="BS258" s="5"/>
      <c r="BT258" s="5" t="s">
        <v>512</v>
      </c>
      <c r="BU258" s="5"/>
      <c r="BV258" s="5"/>
      <c r="BW258" s="5"/>
      <c r="BX258" s="5"/>
      <c r="BY258" s="5"/>
      <c r="BZ258" s="5"/>
      <c r="CA258" s="5"/>
      <c r="CB258" s="5" t="s">
        <v>113</v>
      </c>
      <c r="CC258" s="5">
        <v>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>
        <v>1</v>
      </c>
      <c r="DD258" s="5"/>
      <c r="DE258" s="5"/>
    </row>
    <row r="259" spans="1:109" x14ac:dyDescent="0.2">
      <c r="A259" s="5" t="str">
        <f>Column!$C259&amp;"_"&amp;Column!$G259</f>
        <v>Issues_StartTime</v>
      </c>
      <c r="B259" s="5" t="s">
        <v>37</v>
      </c>
      <c r="C259" s="5" t="s">
        <v>133</v>
      </c>
      <c r="D259" s="5"/>
      <c r="E259" s="5"/>
      <c r="F259" s="5" t="s">
        <v>543</v>
      </c>
      <c r="G259" s="5" t="s">
        <v>320</v>
      </c>
      <c r="H259" s="5" t="s">
        <v>768</v>
      </c>
      <c r="I259" s="5">
        <v>101</v>
      </c>
      <c r="J259" s="5">
        <v>101</v>
      </c>
      <c r="K259" s="5"/>
      <c r="L259" s="5">
        <v>101</v>
      </c>
      <c r="M259" s="5">
        <v>101</v>
      </c>
      <c r="N259" s="5">
        <v>1</v>
      </c>
      <c r="O259" s="5">
        <v>101</v>
      </c>
      <c r="P259" s="5"/>
      <c r="Q259" s="5">
        <v>101</v>
      </c>
      <c r="R259" s="5">
        <v>1</v>
      </c>
      <c r="S259" s="5">
        <v>101</v>
      </c>
      <c r="T259" s="5">
        <v>101</v>
      </c>
      <c r="U259" s="5">
        <v>1</v>
      </c>
      <c r="V259" s="5">
        <v>101</v>
      </c>
      <c r="W259" s="5">
        <v>1</v>
      </c>
      <c r="X259" s="5"/>
      <c r="Y259" s="5" t="s">
        <v>8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811</v>
      </c>
      <c r="BJ259" s="5" t="s">
        <v>609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 t="s">
        <v>332</v>
      </c>
      <c r="CE259" s="5" t="s">
        <v>331</v>
      </c>
      <c r="CF259" s="5" t="s">
        <v>331</v>
      </c>
      <c r="CG259" s="5"/>
      <c r="CH259" s="5"/>
      <c r="CI259" s="5"/>
      <c r="CJ259" s="5"/>
      <c r="CK259" s="5">
        <v>0</v>
      </c>
      <c r="CL259" s="5"/>
      <c r="CM259" s="5"/>
      <c r="CN259" s="5"/>
      <c r="CO259" s="5"/>
      <c r="CP259" s="5"/>
      <c r="CQ259" s="5"/>
      <c r="CR259" s="5"/>
      <c r="CS259" s="5"/>
      <c r="CT259" s="5">
        <v>-365</v>
      </c>
      <c r="CU259" s="5">
        <v>365</v>
      </c>
      <c r="CV259" s="5">
        <v>1</v>
      </c>
      <c r="CW259" s="5"/>
      <c r="CX259" s="5"/>
      <c r="CY259" s="5"/>
      <c r="CZ259" s="5"/>
      <c r="DA259" s="5"/>
      <c r="DB259" s="5">
        <v>50</v>
      </c>
      <c r="DC259" s="5"/>
      <c r="DD259" s="5"/>
      <c r="DE259" s="5"/>
    </row>
    <row r="260" spans="1:109" x14ac:dyDescent="0.2">
      <c r="A260" s="5" t="str">
        <f>Column!$C260&amp;"_"&amp;Column!$G260</f>
        <v>Issues_CompletionTime</v>
      </c>
      <c r="B260" s="5" t="s">
        <v>37</v>
      </c>
      <c r="C260" s="5" t="s">
        <v>133</v>
      </c>
      <c r="D260" s="5"/>
      <c r="E260" s="5"/>
      <c r="F260" s="5" t="s">
        <v>543</v>
      </c>
      <c r="G260" s="5" t="s">
        <v>339</v>
      </c>
      <c r="H260" s="5" t="s">
        <v>769</v>
      </c>
      <c r="I260" s="5">
        <v>102</v>
      </c>
      <c r="J260" s="5">
        <v>102</v>
      </c>
      <c r="K260" s="5"/>
      <c r="L260" s="5">
        <v>102</v>
      </c>
      <c r="M260" s="5">
        <v>102</v>
      </c>
      <c r="N260" s="5">
        <v>1</v>
      </c>
      <c r="O260" s="5">
        <v>102</v>
      </c>
      <c r="P260" s="5"/>
      <c r="Q260" s="5">
        <v>102</v>
      </c>
      <c r="R260" s="5">
        <v>1</v>
      </c>
      <c r="S260" s="5">
        <v>102</v>
      </c>
      <c r="T260" s="5">
        <v>102</v>
      </c>
      <c r="U260" s="5">
        <v>1</v>
      </c>
      <c r="V260" s="5">
        <v>102</v>
      </c>
      <c r="W260" s="5">
        <v>1</v>
      </c>
      <c r="X260" s="5"/>
      <c r="Y260" s="5" t="s">
        <v>8</v>
      </c>
      <c r="Z260" s="5" t="s">
        <v>339</v>
      </c>
      <c r="AA260" s="5" t="s">
        <v>204</v>
      </c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>
        <v>1</v>
      </c>
      <c r="AZ260" s="5"/>
      <c r="BA260" s="5"/>
      <c r="BB260" s="5"/>
      <c r="BC260" s="5"/>
      <c r="BD260" s="5"/>
      <c r="BE260" s="5">
        <v>200</v>
      </c>
      <c r="BF260" s="5"/>
      <c r="BG260" s="5"/>
      <c r="BH260" s="5"/>
      <c r="BI260" s="5" t="s">
        <v>812</v>
      </c>
      <c r="BJ260" s="5" t="s">
        <v>601</v>
      </c>
      <c r="BK260" s="5" t="s">
        <v>602</v>
      </c>
      <c r="BL260" s="5"/>
      <c r="BM260" s="5" t="s">
        <v>566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7" t="s">
        <v>162</v>
      </c>
      <c r="CC260" s="7"/>
      <c r="CD260" s="5" t="s">
        <v>332</v>
      </c>
      <c r="CE260" s="5" t="s">
        <v>331</v>
      </c>
      <c r="CF260" s="5" t="s">
        <v>331</v>
      </c>
      <c r="CG260" s="5"/>
      <c r="CH260" s="5"/>
      <c r="CI260" s="5"/>
      <c r="CJ260" s="5"/>
      <c r="CK260" s="5">
        <v>7</v>
      </c>
      <c r="CL260" s="5"/>
      <c r="CM260" s="5"/>
      <c r="CN260" s="5">
        <v>1</v>
      </c>
      <c r="CO260" s="5"/>
      <c r="CP260" s="5">
        <v>1</v>
      </c>
      <c r="CQ260" s="5"/>
      <c r="CR260" s="5"/>
      <c r="CS260" s="5"/>
      <c r="CT260" s="5">
        <v>-365</v>
      </c>
      <c r="CU260" s="5">
        <v>365</v>
      </c>
      <c r="CV260" s="5">
        <v>1</v>
      </c>
      <c r="CW260" s="5"/>
      <c r="CX260" s="5"/>
      <c r="CY260" s="5"/>
      <c r="CZ260" s="5"/>
      <c r="DA260" s="5"/>
      <c r="DB260" s="5">
        <v>50</v>
      </c>
      <c r="DC260" s="5">
        <v>1</v>
      </c>
      <c r="DD260" s="5"/>
      <c r="DE260" s="5"/>
    </row>
    <row r="261" spans="1:109" x14ac:dyDescent="0.2">
      <c r="A261" s="5" t="str">
        <f>Column!$C261&amp;"_"&amp;Column!$G261</f>
        <v>Issues_WorkValue</v>
      </c>
      <c r="B261" s="5" t="s">
        <v>37</v>
      </c>
      <c r="C261" s="5" t="s">
        <v>133</v>
      </c>
      <c r="D261" s="5"/>
      <c r="E261" s="5"/>
      <c r="F261" s="5" t="s">
        <v>543</v>
      </c>
      <c r="G261" s="5" t="s">
        <v>355</v>
      </c>
      <c r="H261" s="5" t="s">
        <v>770</v>
      </c>
      <c r="I261" s="5">
        <v>103</v>
      </c>
      <c r="J261" s="5">
        <v>103</v>
      </c>
      <c r="K261" s="5"/>
      <c r="L261" s="5">
        <v>103</v>
      </c>
      <c r="M261" s="5">
        <v>103</v>
      </c>
      <c r="N261" s="5">
        <v>1</v>
      </c>
      <c r="O261" s="5">
        <v>103</v>
      </c>
      <c r="P261" s="5"/>
      <c r="Q261" s="5">
        <v>103</v>
      </c>
      <c r="R261" s="5">
        <v>1</v>
      </c>
      <c r="S261" s="5">
        <v>103</v>
      </c>
      <c r="T261" s="5">
        <v>103</v>
      </c>
      <c r="U261" s="5">
        <v>1</v>
      </c>
      <c r="V261" s="5">
        <v>103</v>
      </c>
      <c r="W261" s="5">
        <v>1</v>
      </c>
      <c r="X261" s="5"/>
      <c r="Y261" s="5" t="s">
        <v>323</v>
      </c>
      <c r="Z261" s="5" t="s">
        <v>355</v>
      </c>
      <c r="AA261" s="5" t="s">
        <v>204</v>
      </c>
      <c r="AB261" s="5"/>
      <c r="AC261" s="5" t="s">
        <v>556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>
        <v>0</v>
      </c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813</v>
      </c>
      <c r="BJ261" s="5" t="s">
        <v>598</v>
      </c>
      <c r="BK261" s="5"/>
      <c r="BL261" s="5"/>
      <c r="BM261" s="5" t="s">
        <v>567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372</v>
      </c>
      <c r="CC261" s="7"/>
      <c r="CD261" s="7"/>
      <c r="CE261" s="7"/>
      <c r="CF261" s="7"/>
      <c r="CG261" s="7"/>
      <c r="CH261" s="7">
        <v>1</v>
      </c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>
        <v>1</v>
      </c>
      <c r="CT261" s="5">
        <v>0</v>
      </c>
      <c r="CU261" s="5">
        <v>100</v>
      </c>
      <c r="CV261" s="5">
        <v>0.1</v>
      </c>
      <c r="CW261" s="5"/>
      <c r="CX261" s="5" t="s">
        <v>328</v>
      </c>
      <c r="CY261" s="5">
        <v>0</v>
      </c>
      <c r="CZ261" s="5">
        <v>100</v>
      </c>
      <c r="DA261" s="5">
        <v>25</v>
      </c>
      <c r="DB261" s="5"/>
      <c r="DC261" s="5"/>
      <c r="DD261" s="5"/>
      <c r="DE261" s="5"/>
    </row>
    <row r="262" spans="1:109" x14ac:dyDescent="0.2">
      <c r="A262" s="5" t="str">
        <f>Column!$C262&amp;"_"&amp;Column!$G262</f>
        <v>Issues_ProgressRate</v>
      </c>
      <c r="B262" s="5" t="s">
        <v>37</v>
      </c>
      <c r="C262" s="5" t="s">
        <v>133</v>
      </c>
      <c r="D262" s="5"/>
      <c r="E262" s="5"/>
      <c r="F262" s="5" t="s">
        <v>543</v>
      </c>
      <c r="G262" s="5" t="s">
        <v>321</v>
      </c>
      <c r="H262" s="5" t="s">
        <v>771</v>
      </c>
      <c r="I262" s="5">
        <v>104</v>
      </c>
      <c r="J262" s="5">
        <v>104</v>
      </c>
      <c r="K262" s="5"/>
      <c r="L262" s="5">
        <v>104</v>
      </c>
      <c r="M262" s="5">
        <v>104</v>
      </c>
      <c r="N262" s="5">
        <v>1</v>
      </c>
      <c r="O262" s="5">
        <v>104</v>
      </c>
      <c r="P262" s="5"/>
      <c r="Q262" s="5">
        <v>104</v>
      </c>
      <c r="R262" s="5">
        <v>1</v>
      </c>
      <c r="S262" s="5">
        <v>104</v>
      </c>
      <c r="T262" s="5">
        <v>104</v>
      </c>
      <c r="U262" s="5">
        <v>1</v>
      </c>
      <c r="V262" s="5">
        <v>104</v>
      </c>
      <c r="W262" s="5">
        <v>1</v>
      </c>
      <c r="X262" s="5"/>
      <c r="Y262" s="5" t="s">
        <v>323</v>
      </c>
      <c r="Z262" s="5" t="s">
        <v>321</v>
      </c>
      <c r="AA262" s="5" t="s">
        <v>204</v>
      </c>
      <c r="AB262" s="5"/>
      <c r="AC262" s="5" t="s">
        <v>327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>
        <v>0</v>
      </c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200</v>
      </c>
      <c r="BF262" s="5"/>
      <c r="BG262" s="5"/>
      <c r="BH262" s="5"/>
      <c r="BI262" s="5" t="s">
        <v>817</v>
      </c>
      <c r="BJ262" s="5" t="s">
        <v>599</v>
      </c>
      <c r="BK262" s="5"/>
      <c r="BL262" s="5"/>
      <c r="BM262" s="5" t="s">
        <v>568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7" t="s">
        <v>372</v>
      </c>
      <c r="CC262" s="7"/>
      <c r="CD262" s="7"/>
      <c r="CE262" s="7"/>
      <c r="CF262" s="7"/>
      <c r="CG262" s="7"/>
      <c r="CH262" s="7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>
        <v>1</v>
      </c>
      <c r="CT262" s="5">
        <v>0</v>
      </c>
      <c r="CU262" s="5">
        <v>100</v>
      </c>
      <c r="CV262" s="5">
        <v>0.1</v>
      </c>
      <c r="CW262" s="5"/>
      <c r="CX262" s="5" t="s">
        <v>326</v>
      </c>
      <c r="CY262" s="5">
        <v>0</v>
      </c>
      <c r="CZ262" s="5">
        <v>100</v>
      </c>
      <c r="DA262" s="5">
        <v>25</v>
      </c>
      <c r="DB262" s="5"/>
      <c r="DC262" s="5"/>
      <c r="DD262" s="5"/>
      <c r="DE262" s="5"/>
    </row>
    <row r="263" spans="1:109" x14ac:dyDescent="0.2">
      <c r="A263" s="5" t="str">
        <f>Column!$C263&amp;"_"&amp;Column!$G263</f>
        <v>Issues_RemainingWorkValue</v>
      </c>
      <c r="B263" s="5" t="s">
        <v>37</v>
      </c>
      <c r="C263" s="5" t="s">
        <v>133</v>
      </c>
      <c r="D263" s="5"/>
      <c r="E263" s="5"/>
      <c r="F263" s="5" t="s">
        <v>543</v>
      </c>
      <c r="G263" s="5" t="s">
        <v>387</v>
      </c>
      <c r="H263" s="5" t="s">
        <v>772</v>
      </c>
      <c r="I263" s="5">
        <v>105</v>
      </c>
      <c r="J263" s="5">
        <v>105</v>
      </c>
      <c r="K263" s="5"/>
      <c r="L263" s="5">
        <v>105</v>
      </c>
      <c r="M263" s="5">
        <v>105</v>
      </c>
      <c r="N263" s="5">
        <v>1</v>
      </c>
      <c r="O263" s="5"/>
      <c r="P263" s="5"/>
      <c r="Q263" s="5">
        <v>105</v>
      </c>
      <c r="R263" s="5">
        <v>1</v>
      </c>
      <c r="S263" s="5"/>
      <c r="T263" s="5">
        <v>105</v>
      </c>
      <c r="U263" s="5">
        <v>1</v>
      </c>
      <c r="V263" s="5">
        <v>105</v>
      </c>
      <c r="W263" s="5">
        <v>1</v>
      </c>
      <c r="X263" s="5"/>
      <c r="Y263" s="5" t="s">
        <v>323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10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 t="s">
        <v>509</v>
      </c>
      <c r="BC263" s="5" t="s">
        <v>509</v>
      </c>
      <c r="BD263" s="5"/>
      <c r="BE263" s="5"/>
      <c r="BF263" s="5">
        <v>1</v>
      </c>
      <c r="BG263" s="5"/>
      <c r="BH263" s="5">
        <v>1</v>
      </c>
      <c r="BI263" s="5"/>
      <c r="BJ263" s="5"/>
      <c r="BK263" s="5"/>
      <c r="BL263" s="5"/>
      <c r="BM263" s="5"/>
      <c r="BN263" s="5" t="s">
        <v>564</v>
      </c>
      <c r="BO263" s="5"/>
      <c r="BP263" s="5"/>
      <c r="BQ263" s="5"/>
      <c r="BR263" s="5"/>
      <c r="BS263" s="5"/>
      <c r="BT263" s="5" t="s">
        <v>512</v>
      </c>
      <c r="BU263" s="5"/>
      <c r="BV263" s="5"/>
      <c r="BW263" s="5"/>
      <c r="BX263" s="5"/>
      <c r="BY263" s="5"/>
      <c r="BZ263" s="5"/>
      <c r="CA263" s="5"/>
      <c r="CB263" s="7"/>
      <c r="CC263" s="7"/>
      <c r="CD263" s="7"/>
      <c r="CE263" s="7"/>
      <c r="CF263" s="7"/>
      <c r="CG263" s="7"/>
      <c r="CH263" s="7">
        <v>1</v>
      </c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>
        <v>1</v>
      </c>
      <c r="CT263" s="5"/>
      <c r="CU263" s="5"/>
      <c r="CV263" s="5"/>
      <c r="CW263" s="10" t="s">
        <v>390</v>
      </c>
      <c r="CX263" s="5" t="s">
        <v>388</v>
      </c>
      <c r="CY263" s="5"/>
      <c r="CZ263" s="5"/>
      <c r="DA263" s="5"/>
      <c r="DB263" s="5"/>
      <c r="DC263" s="5"/>
      <c r="DD263" s="5"/>
      <c r="DE263" s="5"/>
    </row>
    <row r="264" spans="1:109" x14ac:dyDescent="0.2">
      <c r="A264" s="5" t="str">
        <f>Column!$C264&amp;"_"&amp;Column!$G264</f>
        <v>Issues_Status</v>
      </c>
      <c r="B264" s="5" t="s">
        <v>37</v>
      </c>
      <c r="C264" s="5" t="s">
        <v>133</v>
      </c>
      <c r="D264" s="5"/>
      <c r="E264" s="5"/>
      <c r="F264" s="5" t="s">
        <v>543</v>
      </c>
      <c r="G264" s="5" t="s">
        <v>44</v>
      </c>
      <c r="H264" s="5" t="s">
        <v>773</v>
      </c>
      <c r="I264" s="5">
        <v>106</v>
      </c>
      <c r="J264" s="5">
        <v>106</v>
      </c>
      <c r="K264" s="5"/>
      <c r="L264" s="5">
        <v>106</v>
      </c>
      <c r="M264" s="5">
        <v>106</v>
      </c>
      <c r="N264" s="5">
        <v>1</v>
      </c>
      <c r="O264" s="5">
        <v>106</v>
      </c>
      <c r="P264" s="5">
        <v>1</v>
      </c>
      <c r="Q264" s="5">
        <v>106</v>
      </c>
      <c r="R264" s="5">
        <v>1</v>
      </c>
      <c r="S264" s="5">
        <v>106</v>
      </c>
      <c r="T264" s="5">
        <v>106</v>
      </c>
      <c r="U264" s="5">
        <v>1</v>
      </c>
      <c r="V264" s="5">
        <v>106</v>
      </c>
      <c r="W264" s="5">
        <v>1</v>
      </c>
      <c r="X264" s="5"/>
      <c r="Y264" s="5" t="s">
        <v>1</v>
      </c>
      <c r="Z264" s="5" t="s">
        <v>203</v>
      </c>
      <c r="AA264" s="5" t="s">
        <v>204</v>
      </c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200</v>
      </c>
      <c r="BF264" s="5"/>
      <c r="BG264" s="5"/>
      <c r="BH264" s="5"/>
      <c r="BI264" s="5" t="s">
        <v>814</v>
      </c>
      <c r="BJ264" s="5" t="s">
        <v>587</v>
      </c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 t="s">
        <v>257</v>
      </c>
      <c r="CC264" s="7"/>
      <c r="CD264" s="7"/>
      <c r="CE264" s="7"/>
      <c r="CF264" s="7"/>
      <c r="CG264" s="7">
        <v>1</v>
      </c>
      <c r="CH264" s="7"/>
      <c r="CI264" s="6" t="s">
        <v>376</v>
      </c>
      <c r="CJ264" s="6"/>
      <c r="CK264" s="6">
        <v>100</v>
      </c>
      <c r="CL264" s="6"/>
      <c r="CM264" s="6"/>
      <c r="CN264" s="5">
        <v>1</v>
      </c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</row>
    <row r="265" spans="1:109" x14ac:dyDescent="0.2">
      <c r="A265" s="5" t="str">
        <f>Column!$C265&amp;"_"&amp;Column!$G265</f>
        <v>Issues_Manager</v>
      </c>
      <c r="B265" s="5" t="s">
        <v>37</v>
      </c>
      <c r="C265" s="5" t="s">
        <v>133</v>
      </c>
      <c r="D265" s="5"/>
      <c r="E265" s="5"/>
      <c r="F265" s="5" t="s">
        <v>543</v>
      </c>
      <c r="G265" s="5" t="s">
        <v>367</v>
      </c>
      <c r="H265" s="5" t="s">
        <v>774</v>
      </c>
      <c r="I265" s="5">
        <v>107</v>
      </c>
      <c r="J265" s="5">
        <v>107</v>
      </c>
      <c r="K265" s="5"/>
      <c r="L265" s="5">
        <v>107</v>
      </c>
      <c r="M265" s="5">
        <v>107</v>
      </c>
      <c r="N265" s="5">
        <v>1</v>
      </c>
      <c r="O265" s="5">
        <v>107</v>
      </c>
      <c r="P265" s="5">
        <v>1</v>
      </c>
      <c r="Q265" s="5">
        <v>107</v>
      </c>
      <c r="R265" s="5">
        <v>1</v>
      </c>
      <c r="S265" s="5">
        <v>107</v>
      </c>
      <c r="T265" s="5">
        <v>107</v>
      </c>
      <c r="U265" s="5"/>
      <c r="V265" s="5">
        <v>107</v>
      </c>
      <c r="W265" s="5"/>
      <c r="X265" s="5"/>
      <c r="Y265" s="5" t="s">
        <v>140</v>
      </c>
      <c r="Z265" s="5" t="s">
        <v>364</v>
      </c>
      <c r="AA265" s="5" t="s">
        <v>369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/>
      <c r="BG265" s="5"/>
      <c r="BH265" s="5"/>
      <c r="BI265" s="5" t="s">
        <v>810</v>
      </c>
      <c r="BJ265" s="5" t="s">
        <v>606</v>
      </c>
      <c r="BK265" s="5" t="s">
        <v>605</v>
      </c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>
        <v>1</v>
      </c>
      <c r="BZ265" s="5"/>
      <c r="CA265" s="5"/>
      <c r="CB265" s="7" t="s">
        <v>257</v>
      </c>
      <c r="CC265" s="7"/>
      <c r="CD265" s="7"/>
      <c r="CE265" s="7"/>
      <c r="CF265" s="7"/>
      <c r="CG265" s="7">
        <v>1</v>
      </c>
      <c r="CH265" s="7"/>
      <c r="CI265" s="6" t="s">
        <v>351</v>
      </c>
      <c r="CJ265" s="6"/>
      <c r="CK265" s="6" t="s">
        <v>592</v>
      </c>
      <c r="CL265" s="6">
        <v>1</v>
      </c>
      <c r="CM265" s="6"/>
      <c r="CN265" s="5"/>
      <c r="CO265" s="5"/>
      <c r="CP265" s="5"/>
      <c r="CQ265" s="5"/>
      <c r="CR265" s="5"/>
      <c r="CS265" s="5"/>
      <c r="CT265" s="6"/>
      <c r="CU265" s="6"/>
      <c r="CV265" s="6"/>
      <c r="CW265" s="6"/>
      <c r="CX265" s="6"/>
      <c r="CY265" s="6"/>
      <c r="CZ265" s="6"/>
      <c r="DA265" s="6"/>
      <c r="DB265" s="6"/>
      <c r="DC265" s="5">
        <v>1</v>
      </c>
      <c r="DD265" s="5"/>
      <c r="DE265" s="5"/>
    </row>
    <row r="266" spans="1:109" x14ac:dyDescent="0.2">
      <c r="A266" s="5" t="str">
        <f>Column!$C266&amp;"_"&amp;Column!$G266</f>
        <v>Issues_Owner</v>
      </c>
      <c r="B266" s="5" t="s">
        <v>37</v>
      </c>
      <c r="C266" s="5" t="s">
        <v>133</v>
      </c>
      <c r="D266" s="5"/>
      <c r="E266" s="5"/>
      <c r="F266" s="5" t="s">
        <v>543</v>
      </c>
      <c r="G266" s="5" t="s">
        <v>368</v>
      </c>
      <c r="H266" s="5" t="s">
        <v>775</v>
      </c>
      <c r="I266" s="5">
        <v>108</v>
      </c>
      <c r="J266" s="5">
        <v>108</v>
      </c>
      <c r="K266" s="5"/>
      <c r="L266" s="5">
        <v>108</v>
      </c>
      <c r="M266" s="5">
        <v>108</v>
      </c>
      <c r="N266" s="5">
        <v>1</v>
      </c>
      <c r="O266" s="5">
        <v>108</v>
      </c>
      <c r="P266" s="5">
        <v>1</v>
      </c>
      <c r="Q266" s="5">
        <v>108</v>
      </c>
      <c r="R266" s="5">
        <v>1</v>
      </c>
      <c r="S266" s="5">
        <v>108</v>
      </c>
      <c r="T266" s="5">
        <v>108</v>
      </c>
      <c r="U266" s="5">
        <v>1</v>
      </c>
      <c r="V266" s="5">
        <v>108</v>
      </c>
      <c r="W266" s="5">
        <v>1</v>
      </c>
      <c r="X266" s="5"/>
      <c r="Y266" s="5" t="s">
        <v>140</v>
      </c>
      <c r="Z266" s="5" t="s">
        <v>364</v>
      </c>
      <c r="AA266" s="5" t="s">
        <v>369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/>
      <c r="BG266" s="5"/>
      <c r="BH266" s="5"/>
      <c r="BI266" s="5" t="s">
        <v>810</v>
      </c>
      <c r="BJ266" s="5" t="s">
        <v>607</v>
      </c>
      <c r="BK266" s="5" t="s">
        <v>605</v>
      </c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>
        <v>1</v>
      </c>
      <c r="BZ266" s="5"/>
      <c r="CA266" s="5"/>
      <c r="CB266" s="7" t="s">
        <v>257</v>
      </c>
      <c r="CC266" s="7"/>
      <c r="CD266" s="7"/>
      <c r="CE266" s="7"/>
      <c r="CF266" s="7"/>
      <c r="CG266" s="7">
        <v>1</v>
      </c>
      <c r="CH266" s="7"/>
      <c r="CI266" s="6" t="s">
        <v>351</v>
      </c>
      <c r="CJ266" s="6"/>
      <c r="CK266" s="6" t="s">
        <v>592</v>
      </c>
      <c r="CL266" s="6">
        <v>1</v>
      </c>
      <c r="CM266" s="6"/>
      <c r="CN266" s="5"/>
      <c r="CO266" s="5"/>
      <c r="CP266" s="5"/>
      <c r="CQ266" s="5"/>
      <c r="CR266" s="5"/>
      <c r="CS266" s="5"/>
      <c r="CT266" s="6"/>
      <c r="CU266" s="6"/>
      <c r="CV266" s="6"/>
      <c r="CW266" s="6"/>
      <c r="CX266" s="6"/>
      <c r="CY266" s="6"/>
      <c r="CZ266" s="6"/>
      <c r="DA266" s="6"/>
      <c r="DB266" s="6"/>
      <c r="DC266" s="5">
        <v>1</v>
      </c>
      <c r="DD266" s="5"/>
      <c r="DE266" s="5"/>
    </row>
    <row r="267" spans="1:109" x14ac:dyDescent="0.2">
      <c r="A267" s="5" t="str">
        <f>Column!$C267&amp;"_"&amp;Column!$G267</f>
        <v>Issues_SiteTitle</v>
      </c>
      <c r="B267" s="5" t="s">
        <v>37</v>
      </c>
      <c r="C267" s="5" t="s">
        <v>133</v>
      </c>
      <c r="D267" s="5"/>
      <c r="E267" s="5"/>
      <c r="F267" s="5" t="s">
        <v>543</v>
      </c>
      <c r="G267" s="5" t="s">
        <v>346</v>
      </c>
      <c r="H267" s="5" t="s">
        <v>217</v>
      </c>
      <c r="I267" s="5">
        <v>800</v>
      </c>
      <c r="J267" s="5">
        <v>800</v>
      </c>
      <c r="K267" s="5"/>
      <c r="L267" s="5">
        <v>800</v>
      </c>
      <c r="M267" s="5">
        <v>800</v>
      </c>
      <c r="N267" s="5"/>
      <c r="O267" s="5">
        <v>800</v>
      </c>
      <c r="P267" s="5">
        <v>1</v>
      </c>
      <c r="Q267" s="5"/>
      <c r="R267" s="5"/>
      <c r="S267" s="5"/>
      <c r="T267" s="5">
        <v>800</v>
      </c>
      <c r="U267" s="5"/>
      <c r="V267" s="5">
        <v>800</v>
      </c>
      <c r="W267" s="5"/>
      <c r="X267" s="5"/>
      <c r="Y267" s="5" t="s">
        <v>0</v>
      </c>
      <c r="Z267" s="5" t="s">
        <v>346</v>
      </c>
      <c r="AA267" s="5" t="s">
        <v>553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>
        <v>1</v>
      </c>
      <c r="AZ267" s="5"/>
      <c r="BA267" s="5"/>
      <c r="BB267" s="5"/>
      <c r="BC267" s="5"/>
      <c r="BD267" s="5"/>
      <c r="BE267" s="5"/>
      <c r="BF267" s="5">
        <v>1</v>
      </c>
      <c r="BG267" s="5"/>
      <c r="BH267" s="5">
        <v>1</v>
      </c>
      <c r="BI267" s="5"/>
      <c r="BJ267" s="5"/>
      <c r="BK267" s="5"/>
      <c r="BL267" s="5"/>
      <c r="BM267" s="5"/>
      <c r="BN267" s="5" t="s">
        <v>552</v>
      </c>
      <c r="BO267" s="5" t="s">
        <v>552</v>
      </c>
      <c r="BP267" s="5"/>
      <c r="BQ267" s="5"/>
      <c r="BR267" s="5"/>
      <c r="BS267" s="5"/>
      <c r="BT267" s="5"/>
      <c r="BU267" s="5"/>
      <c r="BV267" s="5"/>
      <c r="BW267" s="5" t="s">
        <v>551</v>
      </c>
      <c r="BX267" s="5"/>
      <c r="BY267" s="5"/>
      <c r="BZ267" s="5"/>
      <c r="CA267" s="5"/>
      <c r="CB267" s="7" t="s">
        <v>257</v>
      </c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</row>
    <row r="268" spans="1:109" x14ac:dyDescent="0.2">
      <c r="A268" s="5" t="str">
        <f>Column!$C268&amp;"_"&amp;Column!$G268</f>
        <v>Results_ResultId</v>
      </c>
      <c r="B268" s="5" t="s">
        <v>374</v>
      </c>
      <c r="C268" s="5" t="s">
        <v>373</v>
      </c>
      <c r="D268" s="5"/>
      <c r="E268" s="5"/>
      <c r="F268" s="5" t="s">
        <v>544</v>
      </c>
      <c r="G268" s="5" t="s">
        <v>375</v>
      </c>
      <c r="H268" s="5" t="s">
        <v>767</v>
      </c>
      <c r="I268" s="5">
        <v>4</v>
      </c>
      <c r="J268" s="5">
        <v>2</v>
      </c>
      <c r="K268" s="5"/>
      <c r="L268" s="5">
        <v>4</v>
      </c>
      <c r="M268" s="5">
        <v>4</v>
      </c>
      <c r="N268" s="5">
        <v>1</v>
      </c>
      <c r="O268" s="5"/>
      <c r="P268" s="5"/>
      <c r="Q268" s="5">
        <v>4</v>
      </c>
      <c r="R268" s="5">
        <v>1</v>
      </c>
      <c r="S268" s="5">
        <v>30</v>
      </c>
      <c r="T268" s="5">
        <v>4</v>
      </c>
      <c r="U268" s="5">
        <v>1</v>
      </c>
      <c r="V268" s="5">
        <v>4</v>
      </c>
      <c r="W268" s="5"/>
      <c r="X268" s="5"/>
      <c r="Y268" s="5" t="s">
        <v>30</v>
      </c>
      <c r="Z268" s="5"/>
      <c r="AA268" s="5"/>
      <c r="AB268" s="5"/>
      <c r="AC268" s="5"/>
      <c r="AD268" s="5">
        <v>10</v>
      </c>
      <c r="AE268" s="5"/>
      <c r="AF268" s="5">
        <v>2</v>
      </c>
      <c r="AG268" s="5"/>
      <c r="AH268" s="5">
        <v>1</v>
      </c>
      <c r="AI268" s="5"/>
      <c r="AJ268" s="5">
        <v>1</v>
      </c>
      <c r="AK268" s="5"/>
      <c r="AL268" s="5"/>
      <c r="AM268" s="5"/>
      <c r="AN268" s="5"/>
      <c r="AO268" s="5"/>
      <c r="AP268" s="5"/>
      <c r="AQ268" s="5"/>
      <c r="AR268" s="5">
        <v>1</v>
      </c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>
        <v>1</v>
      </c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>
        <v>30</v>
      </c>
      <c r="BQ268" s="5">
        <v>1</v>
      </c>
      <c r="BR268" s="5"/>
      <c r="BS268" s="5"/>
      <c r="BT268" s="5" t="s">
        <v>512</v>
      </c>
      <c r="BU268" s="5"/>
      <c r="BV268" s="5"/>
      <c r="BW268" s="5"/>
      <c r="BX268" s="5"/>
      <c r="BY268" s="5"/>
      <c r="BZ268" s="5"/>
      <c r="CA268" s="5"/>
      <c r="CB268" s="5" t="s">
        <v>113</v>
      </c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2">
      <c r="A269" s="5" t="str">
        <f>Column!$C269&amp;"_"&amp;Column!$G269</f>
        <v>Results_Title</v>
      </c>
      <c r="B269" s="5" t="s">
        <v>374</v>
      </c>
      <c r="C269" s="5" t="s">
        <v>373</v>
      </c>
      <c r="D269" s="5"/>
      <c r="E269" s="5"/>
      <c r="F269" s="5" t="s">
        <v>544</v>
      </c>
      <c r="G269" s="5" t="s">
        <v>64</v>
      </c>
      <c r="H269" s="5" t="s">
        <v>621</v>
      </c>
      <c r="I269" s="5">
        <v>51</v>
      </c>
      <c r="J269" s="5">
        <v>51</v>
      </c>
      <c r="K269" s="5"/>
      <c r="L269" s="5">
        <v>51</v>
      </c>
      <c r="M269" s="5">
        <v>51</v>
      </c>
      <c r="N269" s="5"/>
      <c r="O269" s="5">
        <v>51</v>
      </c>
      <c r="P269" s="5"/>
      <c r="Q269" s="5">
        <v>51</v>
      </c>
      <c r="R269" s="5">
        <v>1</v>
      </c>
      <c r="S269" s="5">
        <v>51</v>
      </c>
      <c r="T269" s="5">
        <v>51</v>
      </c>
      <c r="U269" s="5">
        <v>1</v>
      </c>
      <c r="V269" s="5">
        <v>4</v>
      </c>
      <c r="W269" s="5">
        <v>1</v>
      </c>
      <c r="X269" s="5"/>
      <c r="Y269" s="5" t="s">
        <v>68</v>
      </c>
      <c r="Z269" s="5" t="s">
        <v>206</v>
      </c>
      <c r="AA269" s="5" t="s">
        <v>204</v>
      </c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>
        <v>1</v>
      </c>
      <c r="AX269" s="5"/>
      <c r="AY269" s="5"/>
      <c r="AZ269" s="5"/>
      <c r="BA269" s="5"/>
      <c r="BB269" s="5"/>
      <c r="BC269" s="5"/>
      <c r="BD269" s="5"/>
      <c r="BE269" s="5">
        <v>4</v>
      </c>
      <c r="BF269" s="5"/>
      <c r="BG269" s="5"/>
      <c r="BH269" s="5"/>
      <c r="BI269" s="5" t="s">
        <v>808</v>
      </c>
      <c r="BJ269" s="5" t="s">
        <v>586</v>
      </c>
      <c r="BK269" s="5" t="s">
        <v>603</v>
      </c>
      <c r="BL269" s="5"/>
      <c r="BM269" s="5"/>
      <c r="BN269" s="5"/>
      <c r="BO269" s="5"/>
      <c r="BP269" s="5">
        <v>1</v>
      </c>
      <c r="BQ269" s="5"/>
      <c r="BR269" s="5"/>
      <c r="BS269" s="5" t="s">
        <v>210</v>
      </c>
      <c r="BT269" s="5" t="s">
        <v>197</v>
      </c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</row>
    <row r="270" spans="1:109" x14ac:dyDescent="0.2">
      <c r="A270" s="5" t="str">
        <f>Column!$C270&amp;"_"&amp;Column!$G270</f>
        <v>Results_Status</v>
      </c>
      <c r="B270" s="5" t="s">
        <v>374</v>
      </c>
      <c r="C270" s="5" t="s">
        <v>373</v>
      </c>
      <c r="D270" s="5"/>
      <c r="E270" s="5"/>
      <c r="F270" s="5" t="s">
        <v>544</v>
      </c>
      <c r="G270" s="5" t="s">
        <v>44</v>
      </c>
      <c r="H270" s="5" t="s">
        <v>773</v>
      </c>
      <c r="I270" s="5">
        <v>101</v>
      </c>
      <c r="J270" s="5">
        <v>101</v>
      </c>
      <c r="K270" s="5"/>
      <c r="L270" s="5">
        <v>101</v>
      </c>
      <c r="M270" s="5">
        <v>101</v>
      </c>
      <c r="N270" s="5">
        <v>1</v>
      </c>
      <c r="O270" s="5">
        <v>101</v>
      </c>
      <c r="P270" s="5">
        <v>1</v>
      </c>
      <c r="Q270" s="5">
        <v>101</v>
      </c>
      <c r="R270" s="5">
        <v>1</v>
      </c>
      <c r="S270" s="5">
        <v>101</v>
      </c>
      <c r="T270" s="5">
        <v>101</v>
      </c>
      <c r="U270" s="5">
        <v>1</v>
      </c>
      <c r="V270" s="5">
        <v>101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200</v>
      </c>
      <c r="BF270" s="5"/>
      <c r="BG270" s="5"/>
      <c r="BH270" s="5"/>
      <c r="BI270" s="5" t="s">
        <v>809</v>
      </c>
      <c r="BJ270" s="5" t="s">
        <v>589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7" t="s">
        <v>257</v>
      </c>
      <c r="CC270" s="7"/>
      <c r="CD270" s="7"/>
      <c r="CE270" s="7"/>
      <c r="CF270" s="7"/>
      <c r="CG270" s="7">
        <v>1</v>
      </c>
      <c r="CH270" s="7"/>
      <c r="CI270" s="6" t="s">
        <v>376</v>
      </c>
      <c r="CJ270" s="6"/>
      <c r="CK270" s="6">
        <v>100</v>
      </c>
      <c r="CL270" s="6"/>
      <c r="CM270" s="6"/>
      <c r="CN270" s="5"/>
      <c r="CO270" s="5"/>
      <c r="CP270" s="5"/>
      <c r="CQ270" s="5"/>
      <c r="CR270" s="5"/>
      <c r="CS270" s="5"/>
      <c r="CT270" s="6"/>
      <c r="CU270" s="6"/>
      <c r="CV270" s="6"/>
      <c r="CW270" s="6"/>
      <c r="CX270" s="6"/>
      <c r="CY270" s="6"/>
      <c r="CZ270" s="6"/>
      <c r="DA270" s="6"/>
      <c r="DB270" s="6"/>
      <c r="DC270" s="5">
        <v>1</v>
      </c>
      <c r="DD270" s="5"/>
      <c r="DE270" s="5"/>
    </row>
    <row r="271" spans="1:109" x14ac:dyDescent="0.2">
      <c r="A271" s="5" t="str">
        <f>Column!$C271&amp;"_"&amp;Column!$G271</f>
        <v>Results_Manager</v>
      </c>
      <c r="B271" s="5" t="s">
        <v>374</v>
      </c>
      <c r="C271" s="5" t="s">
        <v>373</v>
      </c>
      <c r="D271" s="5"/>
      <c r="E271" s="5"/>
      <c r="F271" s="5" t="s">
        <v>544</v>
      </c>
      <c r="G271" s="5" t="s">
        <v>367</v>
      </c>
      <c r="H271" s="5" t="s">
        <v>774</v>
      </c>
      <c r="I271" s="5">
        <v>102</v>
      </c>
      <c r="J271" s="5">
        <v>102</v>
      </c>
      <c r="K271" s="5"/>
      <c r="L271" s="5">
        <v>102</v>
      </c>
      <c r="M271" s="5">
        <v>102</v>
      </c>
      <c r="N271" s="5">
        <v>1</v>
      </c>
      <c r="O271" s="5">
        <v>102</v>
      </c>
      <c r="P271" s="5">
        <v>1</v>
      </c>
      <c r="Q271" s="5">
        <v>102</v>
      </c>
      <c r="R271" s="5">
        <v>1</v>
      </c>
      <c r="S271" s="5">
        <v>102</v>
      </c>
      <c r="T271" s="5">
        <v>102</v>
      </c>
      <c r="U271" s="5"/>
      <c r="V271" s="5">
        <v>102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/>
      <c r="BG271" s="5"/>
      <c r="BH271" s="5"/>
      <c r="BI271" s="5" t="s">
        <v>810</v>
      </c>
      <c r="BJ271" s="5" t="s">
        <v>606</v>
      </c>
      <c r="BK271" s="5" t="s">
        <v>605</v>
      </c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>
        <v>1</v>
      </c>
      <c r="BZ271" s="5"/>
      <c r="CA271" s="5"/>
      <c r="CB271" s="7" t="s">
        <v>257</v>
      </c>
      <c r="CC271" s="7"/>
      <c r="CD271" s="7"/>
      <c r="CE271" s="7"/>
      <c r="CF271" s="7"/>
      <c r="CG271" s="7">
        <v>1</v>
      </c>
      <c r="CH271" s="7"/>
      <c r="CI271" s="5" t="s">
        <v>351</v>
      </c>
      <c r="CJ271" s="5"/>
      <c r="CK271" s="6" t="s">
        <v>592</v>
      </c>
      <c r="CL271" s="5">
        <v>1</v>
      </c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>
        <v>1</v>
      </c>
      <c r="DD271" s="5"/>
      <c r="DE271" s="5"/>
    </row>
    <row r="272" spans="1:109" x14ac:dyDescent="0.2">
      <c r="A272" s="5" t="str">
        <f>Column!$C272&amp;"_"&amp;Column!$G272</f>
        <v>Results_Owner</v>
      </c>
      <c r="B272" s="5" t="s">
        <v>374</v>
      </c>
      <c r="C272" s="5" t="s">
        <v>373</v>
      </c>
      <c r="D272" s="5"/>
      <c r="E272" s="5"/>
      <c r="F272" s="5" t="s">
        <v>544</v>
      </c>
      <c r="G272" s="5" t="s">
        <v>368</v>
      </c>
      <c r="H272" s="5" t="s">
        <v>775</v>
      </c>
      <c r="I272" s="5">
        <v>103</v>
      </c>
      <c r="J272" s="5">
        <v>103</v>
      </c>
      <c r="K272" s="5"/>
      <c r="L272" s="5">
        <v>103</v>
      </c>
      <c r="M272" s="5">
        <v>103</v>
      </c>
      <c r="N272" s="5">
        <v>1</v>
      </c>
      <c r="O272" s="5">
        <v>103</v>
      </c>
      <c r="P272" s="5">
        <v>1</v>
      </c>
      <c r="Q272" s="5">
        <v>103</v>
      </c>
      <c r="R272" s="5">
        <v>1</v>
      </c>
      <c r="S272" s="5">
        <v>103</v>
      </c>
      <c r="T272" s="5">
        <v>103</v>
      </c>
      <c r="U272" s="5">
        <v>1</v>
      </c>
      <c r="V272" s="5">
        <v>103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/>
      <c r="BG272" s="5"/>
      <c r="BH272" s="5"/>
      <c r="BI272" s="5" t="s">
        <v>810</v>
      </c>
      <c r="BJ272" s="5" t="s">
        <v>607</v>
      </c>
      <c r="BK272" s="5" t="s">
        <v>605</v>
      </c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>
        <v>1</v>
      </c>
      <c r="BZ272" s="5"/>
      <c r="CA272" s="5"/>
      <c r="CB272" s="7" t="s">
        <v>257</v>
      </c>
      <c r="CC272" s="7"/>
      <c r="CD272" s="7"/>
      <c r="CE272" s="7"/>
      <c r="CF272" s="7"/>
      <c r="CG272" s="7">
        <v>1</v>
      </c>
      <c r="CH272" s="7"/>
      <c r="CI272" s="5" t="s">
        <v>351</v>
      </c>
      <c r="CJ272" s="5"/>
      <c r="CK272" s="6" t="s">
        <v>592</v>
      </c>
      <c r="CL272" s="5">
        <v>1</v>
      </c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>
        <v>1</v>
      </c>
      <c r="DD272" s="5"/>
      <c r="DE272" s="5"/>
    </row>
    <row r="273" spans="1:109" x14ac:dyDescent="0.2">
      <c r="A273" s="11" t="str">
        <f>Column!$C273&amp;"_"&amp;Column!$G273</f>
        <v>Results_SiteTitle</v>
      </c>
      <c r="B273" s="5" t="s">
        <v>374</v>
      </c>
      <c r="C273" s="5" t="s">
        <v>373</v>
      </c>
      <c r="D273" s="5"/>
      <c r="E273" s="5"/>
      <c r="F273" s="5" t="s">
        <v>544</v>
      </c>
      <c r="G273" s="11" t="s">
        <v>346</v>
      </c>
      <c r="H273" s="11" t="s">
        <v>217</v>
      </c>
      <c r="I273" s="5">
        <v>800</v>
      </c>
      <c r="J273" s="5">
        <v>800</v>
      </c>
      <c r="K273" s="5"/>
      <c r="L273" s="5">
        <v>800</v>
      </c>
      <c r="M273" s="5">
        <v>800</v>
      </c>
      <c r="N273" s="5"/>
      <c r="O273" s="5">
        <v>800</v>
      </c>
      <c r="P273" s="5">
        <v>800</v>
      </c>
      <c r="Q273" s="5"/>
      <c r="R273" s="5"/>
      <c r="S273" s="5"/>
      <c r="T273" s="5">
        <v>800</v>
      </c>
      <c r="U273" s="5"/>
      <c r="V273" s="5">
        <v>800</v>
      </c>
      <c r="W273" s="5"/>
      <c r="X273" s="5"/>
      <c r="Y273" s="5" t="s">
        <v>0</v>
      </c>
      <c r="Z273" s="5" t="s">
        <v>346</v>
      </c>
      <c r="AA273" s="5" t="s">
        <v>553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/>
      <c r="BF273" s="5">
        <v>1</v>
      </c>
      <c r="BG273" s="5"/>
      <c r="BH273" s="5">
        <v>1</v>
      </c>
      <c r="BI273" s="5"/>
      <c r="BJ273" s="5"/>
      <c r="BK273" s="5"/>
      <c r="BL273" s="5"/>
      <c r="BM273" s="5"/>
      <c r="BN273" s="5" t="s">
        <v>552</v>
      </c>
      <c r="BO273" s="5" t="s">
        <v>552</v>
      </c>
      <c r="BP273" s="5"/>
      <c r="BQ273" s="5"/>
      <c r="BR273" s="5"/>
      <c r="BS273" s="5"/>
      <c r="BT273" s="5"/>
      <c r="BU273" s="5"/>
      <c r="BV273" s="5"/>
      <c r="BW273" s="5" t="s">
        <v>551</v>
      </c>
      <c r="BX273" s="5"/>
      <c r="BY273" s="5"/>
      <c r="BZ273" s="5"/>
      <c r="CA273" s="5"/>
      <c r="CB273" s="7" t="s">
        <v>257</v>
      </c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</row>
    <row r="274" spans="1:109" x14ac:dyDescent="0.2">
      <c r="A274" s="11" t="str">
        <f>Column!$C274&amp;"_"&amp;Column!$G274</f>
        <v>Wikis_WikiId</v>
      </c>
      <c r="B274" s="11" t="s">
        <v>398</v>
      </c>
      <c r="C274" s="11" t="s">
        <v>399</v>
      </c>
      <c r="D274" s="11"/>
      <c r="E274" s="11"/>
      <c r="F274" s="11" t="s">
        <v>400</v>
      </c>
      <c r="G274" s="11" t="s">
        <v>401</v>
      </c>
      <c r="H274" s="11" t="s">
        <v>767</v>
      </c>
      <c r="I274" s="11">
        <v>4</v>
      </c>
      <c r="J274" s="11">
        <v>2</v>
      </c>
      <c r="K274" s="11"/>
      <c r="L274" s="5">
        <v>4</v>
      </c>
      <c r="M274" s="5">
        <v>4</v>
      </c>
      <c r="N274" s="5">
        <v>1</v>
      </c>
      <c r="O274" s="5"/>
      <c r="P274" s="5"/>
      <c r="Q274" s="5">
        <v>4</v>
      </c>
      <c r="R274" s="5">
        <v>1</v>
      </c>
      <c r="S274" s="5"/>
      <c r="T274" s="11">
        <v>4</v>
      </c>
      <c r="U274" s="5"/>
      <c r="V274" s="11">
        <v>4</v>
      </c>
      <c r="W274" s="5"/>
      <c r="X274" s="5"/>
      <c r="Y274" s="5" t="s">
        <v>30</v>
      </c>
      <c r="Z274" s="5"/>
      <c r="AA274" s="5"/>
      <c r="AB274" s="5"/>
      <c r="AC274" s="5"/>
      <c r="AD274" s="5">
        <v>10</v>
      </c>
      <c r="AE274" s="5"/>
      <c r="AF274" s="5">
        <v>2</v>
      </c>
      <c r="AG274" s="5"/>
      <c r="AH274" s="5">
        <v>1</v>
      </c>
      <c r="AI274" s="5"/>
      <c r="AJ274" s="5">
        <v>1</v>
      </c>
      <c r="AK274" s="5"/>
      <c r="AL274" s="5"/>
      <c r="AM274" s="5"/>
      <c r="AN274" s="5"/>
      <c r="AO274" s="5"/>
      <c r="AP274" s="5"/>
      <c r="AQ274" s="5"/>
      <c r="AR274" s="5">
        <v>1</v>
      </c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>
        <v>1</v>
      </c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>
        <v>40</v>
      </c>
      <c r="BQ274" s="5">
        <v>1</v>
      </c>
      <c r="BR274" s="5"/>
      <c r="BS274" s="5"/>
      <c r="BT274" s="5" t="s">
        <v>514</v>
      </c>
      <c r="BU274" s="5"/>
      <c r="BV274" s="5"/>
      <c r="BW274" s="5"/>
      <c r="BX274" s="5"/>
      <c r="BY274" s="5"/>
      <c r="BZ274" s="5"/>
      <c r="CA274" s="5"/>
      <c r="CB274" s="5" t="s">
        <v>113</v>
      </c>
      <c r="CC274" s="5">
        <v>1</v>
      </c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>
        <v>1</v>
      </c>
      <c r="DD274" s="5"/>
      <c r="DE274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佐藤 義之</cp:lastModifiedBy>
  <cp:lastPrinted>2015-05-31T19:18:01Z</cp:lastPrinted>
  <dcterms:created xsi:type="dcterms:W3CDTF">2014-08-17T13:04:54Z</dcterms:created>
  <dcterms:modified xsi:type="dcterms:W3CDTF">2019-06-09T05:41:14Z</dcterms:modified>
</cp:coreProperties>
</file>