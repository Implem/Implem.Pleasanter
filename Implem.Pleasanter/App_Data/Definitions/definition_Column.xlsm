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佐藤義之\Documents\Pleasanter\Implem.Pleasanter\App_Data\Definitions\"/>
    </mc:Choice>
  </mc:AlternateContent>
  <xr:revisionPtr revIDLastSave="0" documentId="13_ncr:1_{4A309729-B811-469D-B692-FF1A8E2595FB}" xr6:coauthVersionLast="43" xr6:coauthVersionMax="43" xr10:uidLastSave="{00000000-0000-0000-0000-000000000000}"/>
  <bookViews>
    <workbookView xWindow="-7080" yWindow="-21720" windowWidth="38640" windowHeight="21240" xr2:uid="{00000000-000D-0000-FFFF-FFFF00000000}"/>
  </bookViews>
  <sheets>
    <sheet name="Column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5" i="1" l="1"/>
  <c r="A115" i="1" l="1"/>
  <c r="A114" i="1"/>
  <c r="A113" i="1"/>
  <c r="A112" i="1"/>
  <c r="A111" i="1"/>
  <c r="A110" i="1"/>
  <c r="A109" i="1"/>
  <c r="A108" i="1"/>
  <c r="A107" i="1"/>
  <c r="A106" i="1"/>
  <c r="A22" i="1" l="1"/>
  <c r="A220" i="1" l="1"/>
  <c r="A221" i="1"/>
  <c r="A40" i="1" l="1"/>
  <c r="A214" i="1" l="1"/>
  <c r="A213" i="1" l="1"/>
  <c r="A219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44" i="1" l="1"/>
  <c r="A257" i="1" l="1"/>
  <c r="A247" i="1" l="1"/>
  <c r="A245" i="1"/>
  <c r="A151" i="1" l="1"/>
  <c r="A84" i="1" l="1"/>
  <c r="A82" i="1"/>
  <c r="A83" i="1"/>
  <c r="A138" i="1" l="1"/>
  <c r="A201" i="1" l="1"/>
  <c r="A207" i="1" l="1"/>
  <c r="A274" i="1" l="1"/>
  <c r="A226" i="1" l="1"/>
  <c r="A212" i="1" l="1"/>
  <c r="A268" i="1" l="1"/>
  <c r="A150" i="1" l="1"/>
  <c r="A209" i="1" l="1"/>
  <c r="A208" i="1"/>
  <c r="A79" i="1" l="1"/>
  <c r="A165" i="1" l="1"/>
  <c r="A164" i="1" l="1"/>
  <c r="A119" i="1"/>
  <c r="A166" i="1"/>
  <c r="A162" i="1"/>
  <c r="A163" i="1"/>
  <c r="A146" i="1" l="1"/>
  <c r="A120" i="1" l="1"/>
  <c r="A80" i="1" l="1"/>
  <c r="A81" i="1"/>
  <c r="A177" i="1" l="1"/>
  <c r="A174" i="1"/>
  <c r="A100" i="1" l="1"/>
  <c r="A135" i="1" l="1"/>
  <c r="A95" i="1" l="1"/>
  <c r="A96" i="1" l="1"/>
  <c r="A97" i="1"/>
  <c r="A98" i="1"/>
  <c r="A99" i="1"/>
  <c r="A94" i="1"/>
  <c r="A92" i="1"/>
  <c r="A93" i="1"/>
  <c r="A225" i="1" l="1"/>
  <c r="A224" i="1" l="1"/>
  <c r="A157" i="1" l="1"/>
  <c r="A34" i="1" l="1"/>
  <c r="A33" i="1" l="1"/>
  <c r="A158" i="1" l="1"/>
  <c r="A140" i="1" l="1"/>
  <c r="A271" i="1" l="1"/>
  <c r="A248" i="1" l="1"/>
  <c r="A252" i="1"/>
  <c r="A253" i="1"/>
  <c r="A246" i="1" l="1"/>
  <c r="A258" i="1"/>
  <c r="A254" i="1"/>
  <c r="A255" i="1"/>
  <c r="A249" i="1"/>
  <c r="A250" i="1"/>
  <c r="A251" i="1"/>
  <c r="A256" i="1"/>
  <c r="A275" i="1" l="1"/>
  <c r="A241" i="1" l="1"/>
  <c r="A199" i="1"/>
  <c r="A205" i="1" l="1"/>
  <c r="A264" i="1" l="1"/>
  <c r="A229" i="1" l="1"/>
  <c r="A200" i="1" l="1"/>
  <c r="A198" i="1"/>
  <c r="A240" i="1" l="1"/>
  <c r="A206" i="1" l="1"/>
  <c r="A197" i="1" l="1"/>
  <c r="A195" i="1"/>
  <c r="A196" i="1"/>
  <c r="A270" i="1" l="1"/>
  <c r="A272" i="1"/>
  <c r="A273" i="1"/>
  <c r="A269" i="1"/>
  <c r="A121" i="1" l="1"/>
  <c r="A218" i="1" l="1"/>
  <c r="A243" i="1" l="1"/>
  <c r="A239" i="1" l="1"/>
  <c r="A242" i="1" l="1"/>
  <c r="A237" i="1"/>
  <c r="A238" i="1"/>
  <c r="A263" i="1" l="1"/>
  <c r="A262" i="1" l="1"/>
  <c r="A260" i="1"/>
  <c r="A223" i="1" l="1"/>
  <c r="A227" i="1" l="1"/>
  <c r="A228" i="1"/>
  <c r="A230" i="1"/>
  <c r="A182" i="1" l="1"/>
  <c r="A123" i="1" l="1"/>
  <c r="A124" i="1"/>
  <c r="A88" i="1" l="1"/>
  <c r="A155" i="1" l="1"/>
  <c r="A156" i="1"/>
  <c r="A152" i="1" l="1"/>
  <c r="A154" i="1"/>
  <c r="A153" i="1" l="1"/>
  <c r="A231" i="1" l="1"/>
  <c r="A210" i="1" l="1"/>
  <c r="A85" i="1"/>
  <c r="A116" i="1"/>
  <c r="A180" i="1" l="1"/>
  <c r="A48" i="1" l="1"/>
  <c r="A144" i="1" l="1"/>
  <c r="A261" i="1" l="1"/>
  <c r="A265" i="1"/>
  <c r="A76" i="1" l="1"/>
  <c r="A137" i="1"/>
  <c r="A171" i="1"/>
  <c r="A91" i="1"/>
  <c r="A235" i="1" l="1"/>
  <c r="A236" i="1" l="1"/>
  <c r="A234" i="1" l="1"/>
  <c r="A232" i="1"/>
  <c r="A233" i="1"/>
  <c r="A145" i="1" l="1"/>
  <c r="A132" i="1" l="1"/>
  <c r="A136" i="1" l="1"/>
  <c r="A193" i="1" l="1"/>
  <c r="A194" i="1"/>
  <c r="A181" i="1"/>
  <c r="A192" i="1" l="1"/>
  <c r="A204" i="1" l="1"/>
  <c r="A203" i="1" l="1"/>
  <c r="A202" i="1"/>
  <c r="A167" i="1" l="1"/>
  <c r="A168" i="1"/>
  <c r="A169" i="1"/>
  <c r="A170" i="1"/>
  <c r="A9" i="1" l="1"/>
  <c r="A50" i="1" l="1"/>
  <c r="A54" i="1"/>
  <c r="A87" i="1" l="1"/>
  <c r="A118" i="1" l="1"/>
  <c r="A267" i="1"/>
  <c r="A266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17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11" i="1"/>
  <c r="A215" i="1"/>
  <c r="A216" i="1"/>
  <c r="A217" i="1"/>
  <c r="A222" i="1"/>
  <c r="A259" i="1"/>
</calcChain>
</file>

<file path=xl/sharedStrings.xml><?xml version="1.0" encoding="utf-8"?>
<sst xmlns="http://schemas.openxmlformats.org/spreadsheetml/2006/main" count="2359" uniqueCount="854">
  <si>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</si>
  <si>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</si>
  <si>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</si>
  <si>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</si>
  <si>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</si>
  <si>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</si>
  <si>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</si>
  <si>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</si>
  <si>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</si>
  <si>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</si>
  <si>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</si>
  <si>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</si>
  <si>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</si>
  <si>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</si>
  <si>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</si>
  <si>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</si>
  <si>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</si>
  <si>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</si>
  <si>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</si>
  <si>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</si>
  <si>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</si>
  <si>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</si>
  <si>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</si>
  <si>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</si>
  <si>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</si>
  <si>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</si>
  <si>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</si>
  <si>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</si>
  <si>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</si>
  <si>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</si>
  <si>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</si>
  <si>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</si>
  <si>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</si>
  <si>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</si>
  <si>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</si>
  <si>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</si>
  <si>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</si>
  <si>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</si>
  <si>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</si>
  <si>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</si>
  <si>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</si>
  <si>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</si>
  <si>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</si>
  <si>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</si>
  <si>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</si>
  <si>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</si>
  <si>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</si>
  <si>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</si>
  <si>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</si>
  <si>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</si>
  <si>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</si>
  <si>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</si>
  <si>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</si>
  <si>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</si>
  <si>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</si>
  <si>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</si>
  <si>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</si>
  <si>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</si>
  <si>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</si>
  <si>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</si>
  <si>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</si>
  <si>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</si>
  <si>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</si>
  <si>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</si>
  <si>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</si>
  <si>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</si>
  <si>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</si>
  <si>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</si>
  <si>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</si>
  <si>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</si>
  <si>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</si>
  <si>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</si>
  <si>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</si>
  <si>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</si>
  <si>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</si>
  <si>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</si>
  <si>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</si>
  <si>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</si>
  <si>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</si>
  <si>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</si>
  <si>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</si>
  <si>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</si>
  <si>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</si>
  <si>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</si>
  <si>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</si>
  <si>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</si>
  <si>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</si>
  <si>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</si>
  <si>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</si>
  <si>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</si>
  <si>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</si>
  <si>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</si>
  <si>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</si>
  <si>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</si>
  <si>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</si>
  <si>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</si>
  <si>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</si>
  <si>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</si>
  <si>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</si>
  <si>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</si>
  <si>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</si>
  <si>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</si>
  <si>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</si>
  <si>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</si>
  <si>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</si>
  <si>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</si>
  <si>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</si>
  <si>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</si>
  <si>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</si>
  <si>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</si>
  <si>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</si>
  <si>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</si>
  <si>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</si>
  <si>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</si>
  <si>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</si>
  <si>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</si>
  <si>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</si>
  <si>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</si>
  <si>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</si>
  <si>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</si>
  <si>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</si>
  <si>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</si>
  <si>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</si>
  <si>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</si>
  <si>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</si>
  <si>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</si>
  <si>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</si>
  <si>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</si>
  <si>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</si>
  <si>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</si>
  <si>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</si>
  <si>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</si>
  <si>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</si>
  <si>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</si>
  <si>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</si>
  <si>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</si>
  <si>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</si>
  <si>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</si>
  <si>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</si>
  <si>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</si>
  <si>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</si>
  <si>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</si>
  <si>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</si>
  <si>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</si>
  <si>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</si>
  <si>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</si>
  <si>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</si>
  <si>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</si>
  <si>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</si>
  <si>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</si>
  <si>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</si>
  <si>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</si>
  <si>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</si>
  <si>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</si>
  <si>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</si>
  <si>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</si>
  <si>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</si>
  <si>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</si>
  <si>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</si>
  <si>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</si>
  <si>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</si>
  <si>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</si>
  <si>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</si>
  <si>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</si>
  <si>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</si>
  <si>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</si>
  <si>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</si>
  <si>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</si>
  <si>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</si>
  <si>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</si>
  <si>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</si>
  <si>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</si>
  <si>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</si>
  <si>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</si>
  <si>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</si>
  <si>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</si>
  <si>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</si>
  <si>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</si>
  <si>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</si>
  <si>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</si>
  <si>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</si>
  <si>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</si>
  <si>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</si>
  <si>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</si>
  <si>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</si>
  <si>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</si>
  <si>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</si>
  <si>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</si>
  <si>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</si>
  <si>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</si>
  <si>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</si>
  <si>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</si>
  <si>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</si>
  <si>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</si>
  <si>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</si>
  <si>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</si>
  <si>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</si>
  <si>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</si>
  <si>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</si>
  <si>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</si>
  <si>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</si>
  <si>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</si>
  <si>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</si>
  <si>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</si>
  <si>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</si>
  <si>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</si>
  <si>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</si>
  <si>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</si>
  <si>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</si>
  <si>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</si>
  <si>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</si>
  <si>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</si>
  <si>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</si>
  <si>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</si>
  <si>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</si>
  <si>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</si>
  <si>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</si>
  <si>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</si>
  <si>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</si>
  <si>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</si>
  <si>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</si>
  <si>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</si>
  <si>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</si>
  <si>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</si>
  <si>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</si>
  <si>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</si>
  <si>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</si>
  <si>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</si>
  <si>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</si>
  <si>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</si>
  <si>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</si>
  <si>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</si>
  <si>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</si>
  <si>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</si>
  <si>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</si>
  <si>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</si>
  <si>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</si>
  <si>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</si>
  <si>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</si>
  <si>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</si>
  <si>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</si>
  <si>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</si>
  <si>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</si>
  <si>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</si>
  <si>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</si>
  <si>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</si>
  <si>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</si>
  <si>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</si>
  <si>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</si>
  <si>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</si>
  <si>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</si>
  <si>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</si>
  <si>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</si>
  <si>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</si>
  <si>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</si>
  <si>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</si>
  <si>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</si>
  <si>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</si>
  <si>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</si>
  <si>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</si>
  <si>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</si>
  <si>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</si>
  <si>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</si>
  <si>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</si>
  <si>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</si>
  <si>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</si>
  <si>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</si>
  <si>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</si>
  <si>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</si>
  <si>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</si>
  <si>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</si>
  <si>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</si>
  <si>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</si>
  <si>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</si>
  <si>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</si>
  <si>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</si>
  <si>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</si>
  <si>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</si>
  <si>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</si>
  <si>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</si>
  <si>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</si>
  <si>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</si>
  <si>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</si>
  <si>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</si>
  <si>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</si>
  <si>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</si>
  <si>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</si>
  <si>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</si>
  <si>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</si>
  <si>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</si>
  <si>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</si>
  <si>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</si>
  <si>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</si>
  <si>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</si>
  <si>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</si>
  <si>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</si>
  <si>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</si>
  <si>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</si>
  <si>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</si>
  <si>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</si>
  <si>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</si>
  <si>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</si>
  <si>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</si>
  <si>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</si>
  <si>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</si>
  <si>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</si>
  <si>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</si>
  <si>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</si>
  <si>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</si>
  <si>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</si>
  <si>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</si>
  <si>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</si>
  <si>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</si>
  <si>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</si>
  <si>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</si>
  <si>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</si>
  <si>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</si>
  <si>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</si>
  <si>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</si>
  <si>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</si>
  <si>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</si>
  <si>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</si>
  <si>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</si>
  <si>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</si>
  <si>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</si>
  <si>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</si>
  <si>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</si>
  <si>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</si>
  <si>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</si>
  <si>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</si>
  <si>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</si>
  <si>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</si>
  <si>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</si>
  <si>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</si>
  <si>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</si>
  <si>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</si>
  <si>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</si>
  <si>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</si>
  <si>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</si>
  <si>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</si>
  <si>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</si>
  <si>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</si>
  <si>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</si>
  <si>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</si>
  <si>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</si>
  <si>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</si>
  <si>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</si>
  <si>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</si>
  <si>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</si>
  <si>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</si>
  <si>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</si>
  <si>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</si>
  <si>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</si>
  <si>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</si>
  <si>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</si>
  <si>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</si>
  <si>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</si>
  <si>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</si>
  <si>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</si>
  <si>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</si>
  <si>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</si>
  <si>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</si>
  <si>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</si>
  <si>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</si>
  <si>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</si>
  <si>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</si>
  <si>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</si>
  <si>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</si>
  <si>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</si>
  <si>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</si>
  <si>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</si>
  <si>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</si>
  <si>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</si>
  <si>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</si>
  <si>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</si>
  <si>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</si>
  <si>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</si>
  <si>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</si>
  <si>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</si>
  <si>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</si>
  <si>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</si>
  <si>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</si>
  <si>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</si>
  <si>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</si>
  <si>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</si>
  <si>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</si>
  <si>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</si>
  <si>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</si>
  <si>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</si>
  <si>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</si>
  <si>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</si>
  <si>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</si>
  <si>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</si>
  <si>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</si>
  <si>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</si>
  <si>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</si>
  <si>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</si>
  <si>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</si>
  <si>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</si>
  <si>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</si>
  <si>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</si>
  <si>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</si>
  <si>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</si>
  <si>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</si>
  <si>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</si>
  <si>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</si>
  <si>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</si>
  <si>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</si>
  <si>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</si>
  <si>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</si>
  <si>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</si>
  <si>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</si>
  <si>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</si>
  <si>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</si>
  <si>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</si>
  <si>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</si>
  <si>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</si>
  <si>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</si>
  <si>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</si>
  <si>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</si>
  <si>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</si>
  <si>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</si>
  <si>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</si>
  <si>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</si>
  <si>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</si>
  <si>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</si>
  <si>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</si>
  <si>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</si>
  <si>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</si>
  <si>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</si>
  <si>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</si>
  <si>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</si>
  <si>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</si>
  <si>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</si>
  <si>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</si>
  <si>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</si>
  <si>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</si>
  <si>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</si>
  <si>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</si>
  <si>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</si>
  <si>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</si>
  <si>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</si>
  <si>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</si>
  <si>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</si>
  <si>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</si>
  <si>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</si>
  <si>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</si>
  <si>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</si>
  <si>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</si>
  <si>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</si>
  <si>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</si>
  <si>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</si>
  <si>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</si>
  <si>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</si>
  <si>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</si>
  <si>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</si>
  <si>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</si>
  <si>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</si>
  <si>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</si>
  <si>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</si>
  <si>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</si>
  <si>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</si>
  <si>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</si>
  <si>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</si>
  <si>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</si>
  <si>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</si>
  <si>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</si>
  <si>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</si>
  <si>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</si>
  <si>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</si>
  <si>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</si>
  <si>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</si>
  <si>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</si>
  <si>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</si>
  <si>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</si>
  <si>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</si>
  <si>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</si>
  <si>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</si>
  <si>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</si>
  <si>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</si>
  <si>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</si>
  <si>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</si>
  <si>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</si>
  <si>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</si>
  <si>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</si>
  <si>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</si>
  <si>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</si>
  <si>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</si>
  <si>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</si>
  <si>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</si>
  <si>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</si>
  <si>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</si>
  <si>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</si>
  <si>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</si>
  <si>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</si>
  <si>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</si>
  <si>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</si>
  <si>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</si>
  <si>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</si>
  <si>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</si>
  <si>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</si>
  <si>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</si>
  <si>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</si>
  <si>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</si>
  <si>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</si>
  <si>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</si>
  <si>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</si>
  <si>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</si>
  <si>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</si>
  <si>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</si>
  <si>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</si>
  <si>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</si>
  <si>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</si>
  <si>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</si>
  <si>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</si>
  <si>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</si>
  <si>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</si>
  <si>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</si>
  <si>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</si>
  <si>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</si>
  <si>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</si>
  <si>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</si>
  <si>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</si>
  <si>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</si>
  <si>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</si>
  <si>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</si>
  <si>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</si>
  <si>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</si>
  <si>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</si>
  <si>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</si>
  <si>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</si>
  <si>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</si>
  <si>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</si>
  <si>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</si>
  <si>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</si>
  <si>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</si>
  <si>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</si>
  <si>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</si>
  <si>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</si>
  <si>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</si>
  <si>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</si>
  <si>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</si>
  <si>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</si>
  <si>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</si>
  <si>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</si>
  <si>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</si>
  <si>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</si>
  <si>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</si>
  <si>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</si>
  <si>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</si>
  <si>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</si>
  <si>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</si>
  <si>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</si>
  <si>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</si>
  <si>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</si>
  <si>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</si>
  <si>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</si>
  <si>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</si>
  <si>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</si>
  <si>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</si>
  <si>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</si>
  <si>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</si>
  <si>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</si>
  <si>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</si>
  <si>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</si>
  <si>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</si>
  <si>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</si>
  <si>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</si>
  <si>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</si>
  <si>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</si>
  <si>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</si>
  <si>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</si>
  <si>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</si>
  <si>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</si>
  <si>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</si>
  <si>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</si>
  <si>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</si>
  <si>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</si>
  <si>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</si>
  <si>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</si>
  <si>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</si>
  <si>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</si>
  <si>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</si>
  <si>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</si>
  <si>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</si>
  <si>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</si>
  <si>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</si>
  <si>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</si>
  <si>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</si>
  <si>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</si>
  <si>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</si>
  <si>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</si>
  <si>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</si>
  <si>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</si>
  <si>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</si>
  <si>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</si>
  <si>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</si>
  <si>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</si>
  <si>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</si>
  <si>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</si>
  <si>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</si>
  <si>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</si>
  <si>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</si>
  <si>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</si>
  <si>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</si>
  <si>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</si>
  <si>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</si>
  <si>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</si>
  <si>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</si>
  <si>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</si>
  <si>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</si>
  <si>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</si>
  <si>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</si>
  <si>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</si>
  <si>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</si>
  <si>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</si>
  <si>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</si>
  <si>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</si>
  <si>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</si>
  <si>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</si>
  <si>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</si>
  <si>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</si>
  <si>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</si>
  <si>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</si>
  <si>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</si>
  <si>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</si>
  <si>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</si>
  <si>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</si>
  <si>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</si>
  <si>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</si>
  <si>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</si>
  <si>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</si>
  <si>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</si>
  <si>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</si>
  <si>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</si>
  <si>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</si>
  <si>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</si>
  <si>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</si>
  <si>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</si>
  <si>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</si>
  <si>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</si>
  <si>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</si>
  <si>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</si>
  <si>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</si>
  <si>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</si>
  <si>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</si>
  <si>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</si>
  <si>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</si>
  <si>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</si>
  <si>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</si>
  <si>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</si>
  <si>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</si>
  <si>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</si>
  <si>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</si>
  <si>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</si>
  <si>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</si>
  <si>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</si>
  <si>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</si>
  <si>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</si>
  <si>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</si>
  <si>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</si>
  <si>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</si>
  <si>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</si>
  <si>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</si>
  <si>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</si>
  <si>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</si>
  <si>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</si>
  <si>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</si>
  <si>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</si>
  <si>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</si>
  <si>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</si>
  <si>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</si>
  <si>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</si>
  <si>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</si>
  <si>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</si>
  <si>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</si>
  <si>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</si>
  <si>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</si>
  <si>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</si>
  <si>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</si>
  <si>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</si>
  <si>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</si>
  <si>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</si>
  <si>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</si>
  <si>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</si>
  <si>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</si>
  <si>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</si>
  <si>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</si>
  <si>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</si>
  <si>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</si>
  <si>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</si>
  <si>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</si>
  <si>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</si>
  <si>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</si>
  <si>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</si>
  <si>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</si>
  <si>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</si>
  <si>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</si>
  <si>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</si>
  <si>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</si>
  <si>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</si>
  <si>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</si>
  <si>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</si>
  <si>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</si>
  <si>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</si>
  <si>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</si>
  <si>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</si>
  <si>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</si>
  <si>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</si>
  <si>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</si>
  <si>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</si>
  <si>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</si>
  <si>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</si>
  <si>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</si>
  <si>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</si>
  <si>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</si>
  <si>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</si>
  <si>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</si>
  <si>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</si>
  <si>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</si>
  <si>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</si>
  <si>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</si>
  <si>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</si>
  <si>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</si>
  <si>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</si>
  <si>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</si>
  <si>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</si>
  <si>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</si>
  <si>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</si>
  <si>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</si>
  <si>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</si>
  <si>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</si>
  <si>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</si>
  <si>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</si>
  <si>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</si>
  <si>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</si>
  <si>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</si>
  <si>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</si>
  <si>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</si>
  <si>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</si>
  <si>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</si>
  <si>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</si>
  <si>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</si>
  <si>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</si>
  <si>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</si>
  <si>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</si>
  <si>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</si>
  <si>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</si>
  <si>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</si>
  <si>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</si>
  <si>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</si>
  <si>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</si>
  <si>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</si>
  <si>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</si>
  <si>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</si>
  <si>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</si>
  <si>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</si>
  <si>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</si>
  <si>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</si>
  <si>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</si>
  <si>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</si>
  <si>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</si>
  <si>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</si>
  <si>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</si>
  <si>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</si>
  <si>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</si>
  <si>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</si>
  <si>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</si>
  <si>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</si>
  <si>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</si>
  <si>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</si>
  <si>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</si>
  <si>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</si>
  <si>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</si>
  <si>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</si>
  <si>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</si>
  <si>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</si>
  <si>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</si>
  <si>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</si>
  <si>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</si>
  <si>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</si>
  <si>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</si>
  <si>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</si>
  <si>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</si>
  <si>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</si>
  <si>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</si>
  <si>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</si>
  <si>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</si>
  <si>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</si>
  <si>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</si>
  <si>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</si>
  <si>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</si>
  <si>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</si>
  <si>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</si>
  <si>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</si>
  <si>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</si>
  <si>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</si>
  <si>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</si>
  <si>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</si>
  <si>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</si>
  <si>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</si>
  <si>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</si>
  <si>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</si>
  <si>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</si>
  <si>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</si>
  <si>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</si>
  <si>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</si>
  <si>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</si>
  <si>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</si>
  <si>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</si>
  <si>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</si>
  <si>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</si>
  <si>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</si>
  <si>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</si>
  <si>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</si>
  <si>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</si>
  <si>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</si>
  <si>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</si>
  <si>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</si>
  <si>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</si>
  <si>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</si>
  <si>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</si>
  <si>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</si>
  <si>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</si>
  <si>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</si>
  <si>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</si>
  <si>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</si>
  <si>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</si>
  <si>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</si>
  <si>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</si>
  <si>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Registrations_TenantId</t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</si>
  <si>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</si>
  <si>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</si>
  <si>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</si>
  <si>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</si>
  <si>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</si>
  <si>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</si>
  <si>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Registrations_RegistrationId</t>
  </si>
  <si>
    <t>Registrations</t>
  </si>
  <si>
    <t>RegistrationId</t>
  </si>
  <si>
    <t>ユーザ登録ID</t>
    <rPh sb="3" eb="5">
      <t>トウロク</t>
    </rPh>
    <phoneticPr fontId="1"/>
  </si>
  <si>
    <t>Id</t>
  </si>
  <si>
    <t>Registrations_MailAddress</t>
  </si>
  <si>
    <t>MailAddress</t>
  </si>
  <si>
    <t>Registrations_Invitee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</si>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</sst>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20304;&#34276;&#32681;&#20043;/Desktop/20190605_definition_Colum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umn"/>
    </sheetNames>
    <sheetDataSet>
      <sheetData sheetId="0">
        <row r="104">
          <cell r="C104" t="str">
            <v>Registrations</v>
          </cell>
          <cell r="G104" t="str">
            <v>Invitee</v>
          </cell>
        </row>
        <row r="105">
          <cell r="C105" t="str">
            <v>Registrations</v>
          </cell>
          <cell r="G105" t="str">
            <v>LoginId</v>
          </cell>
        </row>
        <row r="106">
          <cell r="C106" t="str">
            <v>Registrations</v>
          </cell>
          <cell r="G106" t="str">
            <v>Name</v>
          </cell>
        </row>
        <row r="107">
          <cell r="C107" t="str">
            <v>Registrations</v>
          </cell>
          <cell r="G107" t="str">
            <v>Password</v>
          </cell>
        </row>
        <row r="108">
          <cell r="C108" t="str">
            <v>Registrations</v>
          </cell>
          <cell r="G108" t="str">
            <v>PasswordValidate</v>
          </cell>
        </row>
        <row r="109">
          <cell r="C109" t="str">
            <v>Registrations</v>
          </cell>
          <cell r="G109" t="str">
            <v>Language</v>
          </cell>
        </row>
        <row r="110">
          <cell r="C110" t="str">
            <v>Registrations</v>
          </cell>
          <cell r="G110" t="str">
            <v>Passphrase</v>
          </cell>
        </row>
        <row r="111">
          <cell r="C111" t="str">
            <v>Registrations</v>
          </cell>
          <cell r="G111" t="str">
            <v>Invitingflg</v>
          </cell>
        </row>
        <row r="112">
          <cell r="C112" t="str">
            <v>Registrations</v>
          </cell>
          <cell r="G112" t="str">
            <v>UserId</v>
          </cell>
        </row>
        <row r="113">
          <cell r="C113" t="str">
            <v>Registrations</v>
          </cell>
          <cell r="G113" t="str">
            <v>DeptId</v>
          </cell>
        </row>
        <row r="114">
          <cell r="C114" t="str">
            <v>Registrations</v>
          </cell>
          <cell r="G114" t="str">
            <v>GroupId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5" totalsRowShown="0" headerRowDxfId="111" dataDxfId="110" tableBorderDxfId="109">
  <autoFilter ref="A1:DE275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5"/>
  <sheetViews>
    <sheetView showGridLines="0" tabSelected="1" zoomScale="115" zoomScaleNormal="115" workbookViewId="0">
      <pane xSplit="8" ySplit="2" topLeftCell="BW96" activePane="bottomRight" state="frozen"/>
      <selection activeCell="B1" sqref="B1"/>
      <selection pane="topRight" activeCell="J1" sqref="J1"/>
      <selection pane="bottomLeft" activeCell="B3" sqref="B3"/>
      <selection pane="bottomRight" activeCell="CB112" sqref="CB112"/>
    </sheetView>
  </sheetViews>
  <sheetFormatPr defaultColWidth="23.453125" defaultRowHeight="13" x14ac:dyDescent="0.2"/>
  <cols>
    <col min="1" max="1" width="24.26953125" style="3" hidden="1" customWidth="1"/>
    <col min="2" max="8" width="23.453125" style="3"/>
    <col min="9" max="109" width="6.7265625" style="3" customWidth="1"/>
    <col min="110" max="16384" width="23.453125" style="3"/>
  </cols>
  <sheetData>
    <row r="1" spans="1:109" ht="108" x14ac:dyDescent="0.2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618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393</v>
      </c>
      <c r="N1" s="2" t="s">
        <v>454</v>
      </c>
      <c r="O1" s="2" t="s">
        <v>448</v>
      </c>
      <c r="P1" s="2" t="s">
        <v>455</v>
      </c>
      <c r="Q1" s="2" t="s">
        <v>394</v>
      </c>
      <c r="R1" s="2" t="s">
        <v>456</v>
      </c>
      <c r="S1" s="2" t="s">
        <v>395</v>
      </c>
      <c r="T1" s="2" t="s">
        <v>444</v>
      </c>
      <c r="U1" s="2" t="s">
        <v>457</v>
      </c>
      <c r="V1" s="2" t="s">
        <v>443</v>
      </c>
      <c r="W1" s="2" t="s">
        <v>458</v>
      </c>
      <c r="X1" s="2" t="s">
        <v>555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554</v>
      </c>
      <c r="AZ1" s="2" t="s">
        <v>802</v>
      </c>
      <c r="BA1" s="2" t="s">
        <v>524</v>
      </c>
      <c r="BB1" s="2" t="s">
        <v>525</v>
      </c>
      <c r="BC1" s="2" t="s">
        <v>526</v>
      </c>
      <c r="BD1" s="2" t="s">
        <v>278</v>
      </c>
      <c r="BE1" s="2" t="s">
        <v>408</v>
      </c>
      <c r="BF1" s="2" t="s">
        <v>386</v>
      </c>
      <c r="BG1" s="2" t="s">
        <v>271</v>
      </c>
      <c r="BH1" s="2" t="s">
        <v>272</v>
      </c>
      <c r="BI1" s="2" t="s">
        <v>214</v>
      </c>
      <c r="BJ1" s="2" t="s">
        <v>585</v>
      </c>
      <c r="BK1" s="2" t="s">
        <v>215</v>
      </c>
      <c r="BL1" s="2" t="s">
        <v>216</v>
      </c>
      <c r="BM1" s="2" t="s">
        <v>347</v>
      </c>
      <c r="BN1" s="2" t="s">
        <v>391</v>
      </c>
      <c r="BO1" s="2" t="s">
        <v>348</v>
      </c>
      <c r="BP1" s="2" t="s">
        <v>99</v>
      </c>
      <c r="BQ1" s="2" t="s">
        <v>459</v>
      </c>
      <c r="BR1" s="2" t="s">
        <v>521</v>
      </c>
      <c r="BS1" s="2" t="s">
        <v>402</v>
      </c>
      <c r="BT1" s="2" t="s">
        <v>403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445</v>
      </c>
      <c r="CB1" s="2" t="s">
        <v>324</v>
      </c>
      <c r="CC1" s="2" t="s">
        <v>527</v>
      </c>
      <c r="CD1" s="2" t="s">
        <v>450</v>
      </c>
      <c r="CE1" s="2" t="s">
        <v>475</v>
      </c>
      <c r="CF1" s="2" t="s">
        <v>451</v>
      </c>
      <c r="CG1" s="2" t="s">
        <v>336</v>
      </c>
      <c r="CH1" s="2" t="s">
        <v>337</v>
      </c>
      <c r="CI1" s="2" t="s">
        <v>258</v>
      </c>
      <c r="CJ1" s="2" t="s">
        <v>479</v>
      </c>
      <c r="CK1" s="2" t="s">
        <v>165</v>
      </c>
      <c r="CL1" s="2" t="s">
        <v>219</v>
      </c>
      <c r="CM1" s="2" t="s">
        <v>292</v>
      </c>
      <c r="CN1" s="2" t="s">
        <v>465</v>
      </c>
      <c r="CO1" s="2" t="s">
        <v>466</v>
      </c>
      <c r="CP1" s="2" t="s">
        <v>470</v>
      </c>
      <c r="CQ1" s="2" t="s">
        <v>467</v>
      </c>
      <c r="CR1" s="2" t="s">
        <v>469</v>
      </c>
      <c r="CS1" s="2" t="s">
        <v>468</v>
      </c>
      <c r="CT1" s="2" t="s">
        <v>164</v>
      </c>
      <c r="CU1" s="2" t="s">
        <v>163</v>
      </c>
      <c r="CV1" s="2" t="s">
        <v>166</v>
      </c>
      <c r="CW1" s="2" t="s">
        <v>389</v>
      </c>
      <c r="CX1" s="2" t="s">
        <v>325</v>
      </c>
      <c r="CY1" s="2" t="s">
        <v>476</v>
      </c>
      <c r="CZ1" s="2" t="s">
        <v>477</v>
      </c>
      <c r="DA1" s="2" t="s">
        <v>478</v>
      </c>
      <c r="DB1" s="2" t="s">
        <v>167</v>
      </c>
      <c r="DC1" s="2" t="s">
        <v>90</v>
      </c>
      <c r="DD1" s="2" t="s">
        <v>464</v>
      </c>
      <c r="DE1" s="2" t="s">
        <v>829</v>
      </c>
    </row>
    <row r="2" spans="1:109" x14ac:dyDescent="0.2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449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460</v>
      </c>
      <c r="BR2" s="4" t="s">
        <v>522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480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404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2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619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2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620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610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2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621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808</v>
      </c>
      <c r="BJ5" s="5" t="s">
        <v>586</v>
      </c>
      <c r="BK5" s="5" t="s">
        <v>603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2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622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583</v>
      </c>
      <c r="BT6" s="5"/>
      <c r="BU6" s="5"/>
      <c r="BV6" s="5"/>
      <c r="BW6" s="5"/>
      <c r="BX6" s="5"/>
      <c r="BY6" s="5"/>
      <c r="BZ6" s="5"/>
      <c r="CA6" s="5"/>
      <c r="CB6" s="5" t="s">
        <v>557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2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623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565</v>
      </c>
      <c r="BN7" s="5"/>
      <c r="BO7" s="5" t="s">
        <v>523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828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2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624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509</v>
      </c>
      <c r="BC8" s="5" t="s">
        <v>509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2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625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2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626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810</v>
      </c>
      <c r="BJ10" s="5"/>
      <c r="BK10" s="5" t="s">
        <v>605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2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627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810</v>
      </c>
      <c r="BJ11" s="5"/>
      <c r="BK11" s="5" t="s">
        <v>605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2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563</v>
      </c>
      <c r="H12" s="5" t="s">
        <v>628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2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620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610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2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629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2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630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2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631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2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632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2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621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808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2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622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2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528</v>
      </c>
      <c r="H20" s="5" t="s">
        <v>633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528</v>
      </c>
      <c r="AA20" s="5" t="s">
        <v>530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2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531</v>
      </c>
      <c r="H21" s="5" t="s">
        <v>634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2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826</v>
      </c>
      <c r="H22" s="11" t="s">
        <v>827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2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789</v>
      </c>
      <c r="H23" s="11" t="s">
        <v>790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791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2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792</v>
      </c>
      <c r="G24" s="5" t="s">
        <v>793</v>
      </c>
      <c r="H24" s="11" t="s">
        <v>799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2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792</v>
      </c>
      <c r="G25" s="5" t="s">
        <v>795</v>
      </c>
      <c r="H25" s="11" t="s">
        <v>800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2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792</v>
      </c>
      <c r="G26" s="5" t="s">
        <v>794</v>
      </c>
      <c r="H26" s="11" t="s">
        <v>801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796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2">
      <c r="A27" s="5" t="str">
        <f>Column!$C27&amp;"_"&amp;Column!$G27</f>
        <v>Demos_DemoId</v>
      </c>
      <c r="B27" s="5" t="s">
        <v>435</v>
      </c>
      <c r="C27" s="5" t="s">
        <v>436</v>
      </c>
      <c r="D27" s="5"/>
      <c r="E27" s="5"/>
      <c r="F27" s="5" t="s">
        <v>434</v>
      </c>
      <c r="G27" s="5" t="s">
        <v>431</v>
      </c>
      <c r="H27" s="5" t="s">
        <v>635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2">
      <c r="A28" s="5" t="str">
        <f>Column!$C28&amp;"_"&amp;Column!$G28</f>
        <v>Demos_TenantId</v>
      </c>
      <c r="B28" s="5" t="s">
        <v>435</v>
      </c>
      <c r="C28" s="5" t="s">
        <v>436</v>
      </c>
      <c r="D28" s="5"/>
      <c r="E28" s="5"/>
      <c r="F28" s="5" t="s">
        <v>434</v>
      </c>
      <c r="G28" s="5" t="s">
        <v>432</v>
      </c>
      <c r="H28" s="5" t="s">
        <v>631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2">
      <c r="A29" s="5" t="str">
        <f>Column!$C29&amp;"_"&amp;Column!$G29</f>
        <v>Demos_Title</v>
      </c>
      <c r="B29" s="5" t="s">
        <v>435</v>
      </c>
      <c r="C29" s="5" t="s">
        <v>436</v>
      </c>
      <c r="D29" s="5"/>
      <c r="E29" s="5"/>
      <c r="F29" s="5" t="s">
        <v>434</v>
      </c>
      <c r="G29" s="5" t="s">
        <v>64</v>
      </c>
      <c r="H29" s="5" t="s">
        <v>621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808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2">
      <c r="A30" s="5" t="str">
        <f>Column!$C30&amp;"_"&amp;Column!$G30</f>
        <v>Demos_LoginId</v>
      </c>
      <c r="B30" s="5" t="s">
        <v>435</v>
      </c>
      <c r="C30" s="5" t="s">
        <v>436</v>
      </c>
      <c r="D30" s="5"/>
      <c r="E30" s="5"/>
      <c r="F30" s="5" t="s">
        <v>434</v>
      </c>
      <c r="G30" s="5" t="s">
        <v>141</v>
      </c>
      <c r="H30" s="5" t="s">
        <v>687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2">
      <c r="A31" s="5" t="str">
        <f>Column!$C31&amp;"_"&amp;Column!$G31</f>
        <v>Demos_Passphrase</v>
      </c>
      <c r="B31" s="5" t="s">
        <v>435</v>
      </c>
      <c r="C31" s="5" t="s">
        <v>436</v>
      </c>
      <c r="D31" s="5"/>
      <c r="E31" s="5"/>
      <c r="F31" s="5" t="s">
        <v>434</v>
      </c>
      <c r="G31" s="5" t="s">
        <v>433</v>
      </c>
      <c r="H31" s="5" t="s">
        <v>636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2">
      <c r="A32" s="5" t="str">
        <f>Column!$C32&amp;"_"&amp;Column!$G32</f>
        <v>Demos_MailAddress</v>
      </c>
      <c r="B32" s="5" t="s">
        <v>435</v>
      </c>
      <c r="C32" s="5" t="s">
        <v>436</v>
      </c>
      <c r="D32" s="5"/>
      <c r="E32" s="5"/>
      <c r="F32" s="5" t="s">
        <v>434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2">
      <c r="A33" s="5" t="str">
        <f>Column!$C33&amp;"_"&amp;Column!$G33</f>
        <v>Demos_Initialized</v>
      </c>
      <c r="B33" s="5" t="s">
        <v>435</v>
      </c>
      <c r="C33" s="5" t="s">
        <v>436</v>
      </c>
      <c r="D33" s="5"/>
      <c r="E33" s="5"/>
      <c r="F33" s="5" t="s">
        <v>434</v>
      </c>
      <c r="G33" s="5" t="s">
        <v>438</v>
      </c>
      <c r="H33" s="5" t="s">
        <v>637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2">
      <c r="A34" s="5" t="str">
        <f>Column!$C34&amp;"_"&amp;Column!$G34</f>
        <v>Demos_TimeLag</v>
      </c>
      <c r="B34" s="5" t="s">
        <v>435</v>
      </c>
      <c r="C34" s="5" t="s">
        <v>436</v>
      </c>
      <c r="D34" s="5"/>
      <c r="E34" s="5"/>
      <c r="F34" s="5" t="s">
        <v>434</v>
      </c>
      <c r="G34" s="5" t="s">
        <v>440</v>
      </c>
      <c r="H34" s="5" t="s">
        <v>638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441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2">
      <c r="A35" s="5" t="str">
        <f>Column!$C35&amp;"_"&amp;Column!$G35</f>
        <v>Sessions_SessionGuid</v>
      </c>
      <c r="B35" s="5" t="s">
        <v>612</v>
      </c>
      <c r="C35" s="5" t="s">
        <v>613</v>
      </c>
      <c r="D35" s="5"/>
      <c r="E35" s="5"/>
      <c r="F35" s="5" t="s">
        <v>611</v>
      </c>
      <c r="G35" s="5" t="s">
        <v>110</v>
      </c>
      <c r="H35" s="5" t="s">
        <v>776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615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2">
      <c r="A36" s="5" t="str">
        <f>Column!$C36&amp;"_"&amp;Column!$G36</f>
        <v>Sessions_Key</v>
      </c>
      <c r="B36" s="5" t="s">
        <v>255</v>
      </c>
      <c r="C36" s="5" t="s">
        <v>613</v>
      </c>
      <c r="D36" s="5"/>
      <c r="E36" s="5"/>
      <c r="F36" s="5" t="s">
        <v>611</v>
      </c>
      <c r="G36" s="5" t="s">
        <v>535</v>
      </c>
      <c r="H36" s="5" t="s">
        <v>718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2">
      <c r="A37" s="5" t="str">
        <f>Column!$C37&amp;"_"&amp;Column!$G37</f>
        <v>Sessions_Page</v>
      </c>
      <c r="B37" s="5" t="s">
        <v>612</v>
      </c>
      <c r="C37" s="5" t="s">
        <v>613</v>
      </c>
      <c r="D37" s="5"/>
      <c r="E37" s="5"/>
      <c r="F37" s="5" t="s">
        <v>611</v>
      </c>
      <c r="G37" s="5" t="s">
        <v>779</v>
      </c>
      <c r="H37" s="5" t="s">
        <v>780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2">
      <c r="A38" s="5" t="str">
        <f>Column!$C38&amp;"_"&amp;Column!$G38</f>
        <v>Sessions_Value</v>
      </c>
      <c r="B38" s="5" t="s">
        <v>612</v>
      </c>
      <c r="C38" s="5" t="s">
        <v>613</v>
      </c>
      <c r="D38" s="5"/>
      <c r="E38" s="5"/>
      <c r="F38" s="5" t="s">
        <v>611</v>
      </c>
      <c r="G38" s="5" t="s">
        <v>614</v>
      </c>
      <c r="H38" s="5" t="s">
        <v>777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615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2">
      <c r="A39" s="5" t="str">
        <f>Column!$C39&amp;"_"&amp;Column!$G39</f>
        <v>Sessions_ReadOnce</v>
      </c>
      <c r="B39" s="5" t="s">
        <v>255</v>
      </c>
      <c r="C39" s="5" t="s">
        <v>613</v>
      </c>
      <c r="D39" s="5"/>
      <c r="E39" s="5"/>
      <c r="F39" s="5" t="s">
        <v>611</v>
      </c>
      <c r="G39" s="5" t="s">
        <v>616</v>
      </c>
      <c r="H39" s="5" t="s">
        <v>778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617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2">
      <c r="A40" s="12" t="str">
        <f>Column!$C40&amp;"_"&amp;Column!$G40</f>
        <v>Sessions_UserArea</v>
      </c>
      <c r="B40" s="13" t="s">
        <v>255</v>
      </c>
      <c r="C40" s="13" t="s">
        <v>613</v>
      </c>
      <c r="D40" s="13"/>
      <c r="E40" s="13"/>
      <c r="F40" s="5" t="s">
        <v>611</v>
      </c>
      <c r="G40" s="13" t="s">
        <v>818</v>
      </c>
      <c r="H40" s="14" t="s">
        <v>819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2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628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2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639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2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640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2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641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2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642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2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643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2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644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2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645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2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646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2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647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2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648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2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649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2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650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2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651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2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652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2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653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2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654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2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655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2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656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2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657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2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658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2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659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2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660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2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661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2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662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2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663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2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664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2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665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2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666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2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667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2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668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2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669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2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670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2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671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2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672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2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621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2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673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2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674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2">
      <c r="A79" s="5" t="str">
        <f>Column!$C79&amp;"_"&amp;Column!$G79</f>
        <v>Statuses_TenantId</v>
      </c>
      <c r="B79" s="5" t="s">
        <v>44</v>
      </c>
      <c r="C79" s="5" t="s">
        <v>516</v>
      </c>
      <c r="D79" s="5"/>
      <c r="E79" s="5"/>
      <c r="F79" s="5" t="s">
        <v>517</v>
      </c>
      <c r="G79" s="5" t="s">
        <v>545</v>
      </c>
      <c r="H79" s="5" t="s">
        <v>631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2">
      <c r="A80" s="5" t="str">
        <f>Column!$C80&amp;"_"&amp;Column!$G80</f>
        <v>Statuses_StatusId</v>
      </c>
      <c r="B80" s="5" t="s">
        <v>515</v>
      </c>
      <c r="C80" s="5" t="s">
        <v>516</v>
      </c>
      <c r="D80" s="5"/>
      <c r="E80" s="5"/>
      <c r="F80" s="5" t="s">
        <v>517</v>
      </c>
      <c r="G80" s="5" t="s">
        <v>518</v>
      </c>
      <c r="H80" s="5" t="s">
        <v>675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520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2">
      <c r="A81" s="5" t="str">
        <f>Column!$C81&amp;"_"&amp;Column!$G81</f>
        <v>Statuses_Value</v>
      </c>
      <c r="B81" s="5" t="s">
        <v>515</v>
      </c>
      <c r="C81" s="5" t="s">
        <v>578</v>
      </c>
      <c r="D81" s="5"/>
      <c r="E81" s="5"/>
      <c r="F81" s="5" t="s">
        <v>517</v>
      </c>
      <c r="G81" s="5" t="s">
        <v>519</v>
      </c>
      <c r="H81" s="5" t="s">
        <v>676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2">
      <c r="A82" s="5" t="str">
        <f>Column!$C82&amp;"_"&amp;Column!$G82</f>
        <v>ReminderSchedules_SiteId</v>
      </c>
      <c r="B82" s="5" t="s">
        <v>581</v>
      </c>
      <c r="C82" s="5" t="s">
        <v>580</v>
      </c>
      <c r="D82" s="5"/>
      <c r="E82" s="5"/>
      <c r="F82" s="5" t="s">
        <v>582</v>
      </c>
      <c r="G82" s="5" t="s">
        <v>576</v>
      </c>
      <c r="H82" s="5" t="s">
        <v>619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2">
      <c r="A83" s="5" t="str">
        <f>Column!$C83&amp;"_"&amp;Column!$G83</f>
        <v>ReminderSchedules_Id</v>
      </c>
      <c r="B83" s="5" t="s">
        <v>581</v>
      </c>
      <c r="C83" s="5" t="s">
        <v>580</v>
      </c>
      <c r="D83" s="5"/>
      <c r="E83" s="5"/>
      <c r="F83" s="5" t="s">
        <v>582</v>
      </c>
      <c r="G83" s="5" t="s">
        <v>577</v>
      </c>
      <c r="H83" s="5" t="s">
        <v>677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2">
      <c r="A84" s="5" t="str">
        <f>Column!$C84&amp;"_"&amp;Column!$G84</f>
        <v>ReminderSchedules_ScheduledTime</v>
      </c>
      <c r="B84" s="5" t="s">
        <v>581</v>
      </c>
      <c r="C84" s="5" t="s">
        <v>580</v>
      </c>
      <c r="D84" s="5"/>
      <c r="E84" s="5"/>
      <c r="F84" s="5" t="s">
        <v>582</v>
      </c>
      <c r="G84" s="5" t="s">
        <v>579</v>
      </c>
      <c r="H84" s="5" t="s">
        <v>678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2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631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2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679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2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680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2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498</v>
      </c>
      <c r="BO88" s="5" t="s">
        <v>498</v>
      </c>
      <c r="BP88" s="5"/>
      <c r="BQ88" s="5"/>
      <c r="BR88" s="5"/>
      <c r="BS88" s="5"/>
      <c r="BT88" s="5"/>
      <c r="BU88" s="5"/>
      <c r="BV88" s="5"/>
      <c r="BW88" s="5" t="s">
        <v>604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2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681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2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682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583</v>
      </c>
      <c r="BT90" s="5"/>
      <c r="BU90" s="5"/>
      <c r="BV90" s="5"/>
      <c r="BW90" s="5"/>
      <c r="BX90" s="5"/>
      <c r="BY90" s="5"/>
      <c r="BZ90" s="5"/>
      <c r="CA90" s="5"/>
      <c r="CB90" s="5" t="s">
        <v>557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2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681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2">
      <c r="A92" s="5" t="str">
        <f>Column!$C92&amp;"_"&amp;Column!$G92</f>
        <v>Groups_TenantId</v>
      </c>
      <c r="B92" s="5" t="s">
        <v>486</v>
      </c>
      <c r="C92" s="5" t="s">
        <v>481</v>
      </c>
      <c r="D92" s="5"/>
      <c r="E92" s="5"/>
      <c r="F92" s="5" t="s">
        <v>482</v>
      </c>
      <c r="G92" s="5" t="s">
        <v>483</v>
      </c>
      <c r="H92" s="5" t="s">
        <v>631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2">
      <c r="A93" s="5" t="str">
        <f>Column!$C93&amp;"_"&amp;Column!$G93</f>
        <v>Groups_GroupId</v>
      </c>
      <c r="B93" s="5" t="s">
        <v>486</v>
      </c>
      <c r="C93" s="5" t="s">
        <v>481</v>
      </c>
      <c r="D93" s="5"/>
      <c r="E93" s="5"/>
      <c r="F93" s="5" t="s">
        <v>482</v>
      </c>
      <c r="G93" s="5" t="s">
        <v>484</v>
      </c>
      <c r="H93" s="5" t="s">
        <v>683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2">
      <c r="A94" s="5" t="str">
        <f>Column!$C94&amp;"_"&amp;Column!$G94</f>
        <v>Groups_GroupName</v>
      </c>
      <c r="B94" s="5" t="s">
        <v>486</v>
      </c>
      <c r="C94" s="5" t="s">
        <v>481</v>
      </c>
      <c r="D94" s="5"/>
      <c r="E94" s="5"/>
      <c r="F94" s="5" t="s">
        <v>482</v>
      </c>
      <c r="G94" s="5" t="s">
        <v>485</v>
      </c>
      <c r="H94" s="5" t="s">
        <v>684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2">
      <c r="A95" s="5" t="str">
        <f>Column!$C95&amp;"_"&amp;Column!$G95</f>
        <v>Groups_Body</v>
      </c>
      <c r="B95" s="5" t="s">
        <v>486</v>
      </c>
      <c r="C95" s="5" t="s">
        <v>481</v>
      </c>
      <c r="D95" s="5"/>
      <c r="E95" s="5"/>
      <c r="F95" s="5" t="s">
        <v>482</v>
      </c>
      <c r="G95" s="5" t="s">
        <v>2</v>
      </c>
      <c r="H95" s="5" t="s">
        <v>682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583</v>
      </c>
      <c r="BT95" s="5"/>
      <c r="BU95" s="5"/>
      <c r="BV95" s="5"/>
      <c r="BW95" s="5"/>
      <c r="BX95" s="5"/>
      <c r="BY95" s="5"/>
      <c r="BZ95" s="5"/>
      <c r="CA95" s="5"/>
      <c r="CB95" s="5" t="s">
        <v>557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2">
      <c r="A96" s="5" t="str">
        <f>Column!$C96&amp;"_"&amp;Column!$G96</f>
        <v>Groups_Title</v>
      </c>
      <c r="B96" s="5" t="s">
        <v>486</v>
      </c>
      <c r="C96" s="5" t="s">
        <v>481</v>
      </c>
      <c r="D96" s="5"/>
      <c r="E96" s="5"/>
      <c r="F96" s="5" t="s">
        <v>482</v>
      </c>
      <c r="G96" s="5" t="s">
        <v>246</v>
      </c>
      <c r="H96" s="5" t="s">
        <v>684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2">
      <c r="A97" s="5" t="str">
        <f>Column!$C97&amp;"_"&amp;Column!$G97</f>
        <v>GroupMembers_GroupId</v>
      </c>
      <c r="B97" s="5" t="s">
        <v>487</v>
      </c>
      <c r="C97" s="5" t="s">
        <v>488</v>
      </c>
      <c r="D97" s="5"/>
      <c r="E97" s="5"/>
      <c r="F97" s="5" t="s">
        <v>489</v>
      </c>
      <c r="G97" s="5" t="s">
        <v>484</v>
      </c>
      <c r="H97" s="5" t="s">
        <v>683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2">
      <c r="A98" s="5" t="str">
        <f>Column!$C98&amp;"_"&amp;Column!$G98</f>
        <v>GroupMembers_DeptId</v>
      </c>
      <c r="B98" s="5" t="s">
        <v>487</v>
      </c>
      <c r="C98" s="5" t="s">
        <v>488</v>
      </c>
      <c r="D98" s="5"/>
      <c r="E98" s="5"/>
      <c r="F98" s="5" t="s">
        <v>489</v>
      </c>
      <c r="G98" s="5" t="s">
        <v>103</v>
      </c>
      <c r="H98" s="5" t="s">
        <v>679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2">
      <c r="A99" s="5" t="str">
        <f>Column!$C99&amp;"_"&amp;Column!$G99</f>
        <v>GroupMembers_UserId</v>
      </c>
      <c r="B99" s="5" t="s">
        <v>487</v>
      </c>
      <c r="C99" s="5" t="s">
        <v>488</v>
      </c>
      <c r="D99" s="5"/>
      <c r="E99" s="5"/>
      <c r="F99" s="5" t="s">
        <v>489</v>
      </c>
      <c r="G99" s="5" t="s">
        <v>104</v>
      </c>
      <c r="H99" s="5" t="s">
        <v>685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2">
      <c r="A100" s="5" t="str">
        <f>Column!$C100&amp;"_"&amp;Column!$G100</f>
        <v>GroupMembers_Admin</v>
      </c>
      <c r="B100" s="5" t="s">
        <v>487</v>
      </c>
      <c r="C100" s="5" t="s">
        <v>488</v>
      </c>
      <c r="D100" s="5"/>
      <c r="E100" s="5"/>
      <c r="F100" s="5" t="s">
        <v>489</v>
      </c>
      <c r="G100" s="5" t="s">
        <v>502</v>
      </c>
      <c r="H100" s="5" t="s">
        <v>686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2">
      <c r="A101" s="5" t="s">
        <v>830</v>
      </c>
      <c r="B101" s="5" t="s">
        <v>831</v>
      </c>
      <c r="C101" s="5" t="s">
        <v>832</v>
      </c>
      <c r="D101" s="5"/>
      <c r="E101" s="5"/>
      <c r="F101" s="5" t="s">
        <v>833</v>
      </c>
      <c r="G101" s="5" t="s">
        <v>267</v>
      </c>
      <c r="H101" s="5" t="s">
        <v>834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835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836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2">
      <c r="A102" s="5" t="s">
        <v>837</v>
      </c>
      <c r="B102" s="5" t="s">
        <v>831</v>
      </c>
      <c r="C102" s="5" t="s">
        <v>838</v>
      </c>
      <c r="D102" s="5"/>
      <c r="E102" s="5"/>
      <c r="F102" s="5" t="s">
        <v>833</v>
      </c>
      <c r="G102" s="5" t="s">
        <v>839</v>
      </c>
      <c r="H102" s="5" t="s">
        <v>840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835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836</v>
      </c>
      <c r="BU102" s="5"/>
      <c r="BV102" s="5"/>
      <c r="BW102" s="5"/>
      <c r="BX102" s="5"/>
      <c r="BY102" s="5"/>
      <c r="BZ102" s="5"/>
      <c r="CA102" s="5"/>
      <c r="CB102" s="5" t="s">
        <v>841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2">
      <c r="A103" s="5" t="s">
        <v>842</v>
      </c>
      <c r="B103" s="5" t="s">
        <v>831</v>
      </c>
      <c r="C103" s="5" t="s">
        <v>838</v>
      </c>
      <c r="D103" s="5"/>
      <c r="E103" s="5"/>
      <c r="F103" s="5" t="s">
        <v>833</v>
      </c>
      <c r="G103" s="5" t="s">
        <v>843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430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2">
      <c r="A104" s="5" t="s">
        <v>844</v>
      </c>
      <c r="B104" s="5" t="s">
        <v>831</v>
      </c>
      <c r="C104" s="5" t="s">
        <v>832</v>
      </c>
      <c r="D104" s="5"/>
      <c r="E104" s="5"/>
      <c r="F104" s="5" t="s">
        <v>833</v>
      </c>
      <c r="G104" s="5" t="s">
        <v>845</v>
      </c>
      <c r="H104" s="5" t="s">
        <v>852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835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2">
      <c r="A105" s="5" t="str">
        <f>[1]Column!$C104&amp;"_"&amp;[1]Column!$G104</f>
        <v>_</v>
      </c>
      <c r="B105" s="5" t="s">
        <v>831</v>
      </c>
      <c r="C105" s="5" t="s">
        <v>832</v>
      </c>
      <c r="D105" s="5"/>
      <c r="E105" s="5"/>
      <c r="F105" s="5" t="s">
        <v>833</v>
      </c>
      <c r="G105" s="5" t="s">
        <v>851</v>
      </c>
      <c r="H105" s="5" t="s">
        <v>846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2">
      <c r="A106" s="5" t="str">
        <f>[1]Column!$C105&amp;"_"&amp;[1]Column!$G105</f>
        <v>Registrations_LoginId</v>
      </c>
      <c r="B106" s="5" t="s">
        <v>831</v>
      </c>
      <c r="C106" s="5" t="s">
        <v>832</v>
      </c>
      <c r="D106" s="5"/>
      <c r="E106" s="5"/>
      <c r="F106" s="5" t="s">
        <v>833</v>
      </c>
      <c r="G106" s="5" t="s">
        <v>141</v>
      </c>
      <c r="H106" s="5" t="s">
        <v>687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2">
      <c r="A107" s="5" t="str">
        <f>[1]Column!$C106&amp;"_"&amp;[1]Column!$G106</f>
        <v>Registrations_Name</v>
      </c>
      <c r="B107" s="5" t="s">
        <v>831</v>
      </c>
      <c r="C107" s="5" t="s">
        <v>832</v>
      </c>
      <c r="D107" s="5"/>
      <c r="E107" s="5"/>
      <c r="F107" s="5" t="s">
        <v>833</v>
      </c>
      <c r="G107" s="5" t="s">
        <v>532</v>
      </c>
      <c r="H107" s="5" t="s">
        <v>689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2">
      <c r="A108" s="5" t="str">
        <f>[1]Column!$C107&amp;"_"&amp;[1]Column!$G107</f>
        <v>Registrations_Password</v>
      </c>
      <c r="B108" s="5" t="s">
        <v>831</v>
      </c>
      <c r="C108" s="5" t="s">
        <v>832</v>
      </c>
      <c r="D108" s="5"/>
      <c r="E108" s="5"/>
      <c r="F108" s="5" t="s">
        <v>833</v>
      </c>
      <c r="G108" s="5" t="s">
        <v>25</v>
      </c>
      <c r="H108" s="5" t="s">
        <v>691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2">
      <c r="A109" s="5" t="str">
        <f>[1]Column!$C108&amp;"_"&amp;[1]Column!$G108</f>
        <v>Registrations_PasswordValidate</v>
      </c>
      <c r="B109" s="5" t="s">
        <v>831</v>
      </c>
      <c r="C109" s="5" t="s">
        <v>832</v>
      </c>
      <c r="D109" s="5"/>
      <c r="E109" s="5"/>
      <c r="F109" s="5" t="s">
        <v>833</v>
      </c>
      <c r="G109" s="5" t="s">
        <v>298</v>
      </c>
      <c r="H109" s="5" t="s">
        <v>692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512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847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2">
      <c r="A110" s="5" t="str">
        <f>[1]Column!$C109&amp;"_"&amp;[1]Column!$G109</f>
        <v>Registrations_Language</v>
      </c>
      <c r="B110" s="5" t="s">
        <v>831</v>
      </c>
      <c r="C110" s="5" t="s">
        <v>832</v>
      </c>
      <c r="D110" s="5"/>
      <c r="E110" s="5"/>
      <c r="F110" s="5" t="s">
        <v>833</v>
      </c>
      <c r="G110" s="5" t="s">
        <v>11</v>
      </c>
      <c r="H110" s="5" t="s">
        <v>699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333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257</v>
      </c>
      <c r="CC110" s="7"/>
      <c r="CD110" s="7"/>
      <c r="CE110" s="7"/>
      <c r="CF110" s="7"/>
      <c r="CG110" s="7"/>
      <c r="CH110" s="7"/>
      <c r="CI110" s="8" t="s">
        <v>335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2">
      <c r="A111" s="5" t="str">
        <f>[1]Column!$C110&amp;"_"&amp;[1]Column!$G110</f>
        <v>Registrations_Passphrase</v>
      </c>
      <c r="B111" s="5" t="s">
        <v>831</v>
      </c>
      <c r="C111" s="5" t="s">
        <v>832</v>
      </c>
      <c r="D111" s="5"/>
      <c r="E111" s="5"/>
      <c r="F111" s="5" t="s">
        <v>833</v>
      </c>
      <c r="G111" s="5" t="s">
        <v>433</v>
      </c>
      <c r="H111" s="5" t="s">
        <v>636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2">
      <c r="A112" s="5" t="str">
        <f>[1]Column!$C111&amp;"_"&amp;[1]Column!$G111</f>
        <v>Registrations_Invitingflg</v>
      </c>
      <c r="B112" s="5" t="s">
        <v>848</v>
      </c>
      <c r="C112" s="5" t="s">
        <v>832</v>
      </c>
      <c r="D112" s="5"/>
      <c r="E112" s="5"/>
      <c r="F112" s="5" t="s">
        <v>833</v>
      </c>
      <c r="G112" s="5" t="s">
        <v>849</v>
      </c>
      <c r="H112" s="5" t="s">
        <v>850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257</v>
      </c>
      <c r="CC112" s="7">
        <v>1</v>
      </c>
      <c r="CD112" s="7"/>
      <c r="CE112" s="7"/>
      <c r="CF112" s="7"/>
      <c r="CG112" s="7"/>
      <c r="CH112" s="7"/>
      <c r="CI112" s="8" t="s">
        <v>853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2">
      <c r="A113" s="5" t="str">
        <f>[1]Column!$C112&amp;"_"&amp;[1]Column!$G112</f>
        <v>Registrations_UserId</v>
      </c>
      <c r="B113" s="5" t="s">
        <v>831</v>
      </c>
      <c r="C113" s="5" t="s">
        <v>832</v>
      </c>
      <c r="D113" s="5"/>
      <c r="E113" s="5"/>
      <c r="F113" s="5" t="s">
        <v>833</v>
      </c>
      <c r="G113" s="5" t="s">
        <v>104</v>
      </c>
      <c r="H113" s="5" t="s">
        <v>685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2">
      <c r="A114" s="5" t="str">
        <f>[1]Column!$C113&amp;"_"&amp;[1]Column!$G113</f>
        <v>Registrations_DeptId</v>
      </c>
      <c r="B114" s="5" t="s">
        <v>831</v>
      </c>
      <c r="C114" s="5" t="s">
        <v>832</v>
      </c>
      <c r="D114" s="5"/>
      <c r="E114" s="5"/>
      <c r="F114" s="5" t="s">
        <v>833</v>
      </c>
      <c r="G114" s="5" t="s">
        <v>103</v>
      </c>
      <c r="H114" s="5" t="s">
        <v>234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2">
      <c r="A115" s="5" t="str">
        <f>[1]Column!$C114&amp;"_"&amp;[1]Column!$G114</f>
        <v>Registrations_GroupId</v>
      </c>
      <c r="B115" s="5" t="s">
        <v>831</v>
      </c>
      <c r="C115" s="5" t="s">
        <v>832</v>
      </c>
      <c r="D115" s="5"/>
      <c r="E115" s="5"/>
      <c r="F115" s="5" t="s">
        <v>833</v>
      </c>
      <c r="G115" s="5" t="s">
        <v>484</v>
      </c>
      <c r="H115" s="5" t="s">
        <v>683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2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267</v>
      </c>
      <c r="H116" s="5" t="s">
        <v>631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264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513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2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104</v>
      </c>
      <c r="H117" s="5" t="s">
        <v>685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512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2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141</v>
      </c>
      <c r="H118" s="5" t="s">
        <v>687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275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2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539</v>
      </c>
      <c r="H119" s="5" t="s">
        <v>688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2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532</v>
      </c>
      <c r="H120" s="5" t="s">
        <v>689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2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360</v>
      </c>
      <c r="H121" s="5" t="s">
        <v>690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2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</v>
      </c>
      <c r="H122" s="5" t="s">
        <v>691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509</v>
      </c>
      <c r="BB122" s="5"/>
      <c r="BC122" s="5" t="s">
        <v>509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2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298</v>
      </c>
      <c r="H123" s="5" t="s">
        <v>692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509</v>
      </c>
      <c r="BB123" s="5"/>
      <c r="BC123" s="5" t="s">
        <v>509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512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471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2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299</v>
      </c>
      <c r="H124" s="5" t="s">
        <v>693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509</v>
      </c>
      <c r="BB124" s="5" t="s">
        <v>509</v>
      </c>
      <c r="BC124" s="5" t="s">
        <v>509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354</v>
      </c>
      <c r="BT124" s="5" t="s">
        <v>512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2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295</v>
      </c>
      <c r="H125" s="5" t="s">
        <v>694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509</v>
      </c>
      <c r="BB125" s="5" t="s">
        <v>509</v>
      </c>
      <c r="BC125" s="5" t="s">
        <v>509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2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7</v>
      </c>
      <c r="H126" s="5" t="s">
        <v>695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509</v>
      </c>
      <c r="BB126" s="5" t="s">
        <v>509</v>
      </c>
      <c r="BC126" s="5" t="s">
        <v>509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2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6</v>
      </c>
      <c r="H127" s="5" t="s">
        <v>696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509</v>
      </c>
      <c r="BB127" s="5" t="s">
        <v>509</v>
      </c>
      <c r="BC127" s="5" t="s">
        <v>509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2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10</v>
      </c>
      <c r="H128" s="5" t="s">
        <v>697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331</v>
      </c>
      <c r="CE128" s="5" t="s">
        <v>331</v>
      </c>
      <c r="CF128" s="5" t="s">
        <v>331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2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462</v>
      </c>
      <c r="H129" s="5" t="s">
        <v>698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274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463</v>
      </c>
      <c r="DE129" s="5"/>
    </row>
    <row r="130" spans="1:109" x14ac:dyDescent="0.2">
      <c r="A130" s="5" t="str">
        <f>Column!$C130&amp;"_"&amp;Column!$G130</f>
        <v>Users_Language</v>
      </c>
      <c r="B130" s="6" t="s">
        <v>334</v>
      </c>
      <c r="C130" s="5" t="s">
        <v>130</v>
      </c>
      <c r="D130" s="5"/>
      <c r="E130" s="5"/>
      <c r="F130" s="5" t="s">
        <v>233</v>
      </c>
      <c r="G130" s="5" t="s">
        <v>11</v>
      </c>
      <c r="H130" s="5" t="s">
        <v>699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333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335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2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363</v>
      </c>
      <c r="H131" s="5" t="s">
        <v>700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353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2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207</v>
      </c>
      <c r="H132" s="5" t="s">
        <v>700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209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2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593</v>
      </c>
      <c r="H133" s="5" t="s">
        <v>680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212</v>
      </c>
      <c r="AV133" s="5" t="s">
        <v>594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2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105</v>
      </c>
      <c r="H134" s="5" t="s">
        <v>234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510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257</v>
      </c>
      <c r="CC134" s="7"/>
      <c r="CD134" s="7"/>
      <c r="CE134" s="7"/>
      <c r="CF134" s="7"/>
      <c r="CG134" s="7"/>
      <c r="CH134" s="7"/>
      <c r="CI134" s="6" t="s">
        <v>352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2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262</v>
      </c>
      <c r="H135" s="5" t="s">
        <v>234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262</v>
      </c>
      <c r="Z135" s="5" t="s">
        <v>262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498</v>
      </c>
      <c r="BO135" s="5" t="s">
        <v>498</v>
      </c>
      <c r="BP135" s="5"/>
      <c r="BQ135" s="5"/>
      <c r="BR135" s="5"/>
      <c r="BS135" s="5"/>
      <c r="BT135" s="5"/>
      <c r="BU135" s="5"/>
      <c r="BV135" s="5"/>
      <c r="BW135" s="5" t="s">
        <v>608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2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193</v>
      </c>
      <c r="H136" s="5" t="s">
        <v>701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509</v>
      </c>
      <c r="BB136" s="5" t="s">
        <v>509</v>
      </c>
      <c r="BC136" s="5" t="s">
        <v>509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257</v>
      </c>
      <c r="CC136" s="7"/>
      <c r="CD136" s="7"/>
      <c r="CE136" s="7"/>
      <c r="CF136" s="7"/>
      <c r="CG136" s="7"/>
      <c r="CH136" s="7"/>
      <c r="CI136" s="6" t="s">
        <v>474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2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251</v>
      </c>
      <c r="H137" s="5" t="s">
        <v>621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533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2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</v>
      </c>
      <c r="H138" s="5" t="s">
        <v>682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583</v>
      </c>
      <c r="BT138" s="5"/>
      <c r="BU138" s="5"/>
      <c r="BV138" s="5"/>
      <c r="BW138" s="5"/>
      <c r="BX138" s="5"/>
      <c r="BY138" s="5"/>
      <c r="BZ138" s="5"/>
      <c r="CA138" s="5"/>
      <c r="CB138" s="5" t="s">
        <v>557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2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150</v>
      </c>
      <c r="H139" s="5" t="s">
        <v>702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510</v>
      </c>
      <c r="BB139" s="5" t="s">
        <v>509</v>
      </c>
      <c r="BC139" s="5" t="s">
        <v>509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426</v>
      </c>
      <c r="CE139" s="5" t="s">
        <v>426</v>
      </c>
      <c r="CF139" s="5" t="s">
        <v>426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2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427</v>
      </c>
      <c r="H140" s="5" t="s">
        <v>703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510</v>
      </c>
      <c r="BB140" s="5" t="s">
        <v>510</v>
      </c>
      <c r="BC140" s="5" t="s">
        <v>510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2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287</v>
      </c>
      <c r="H141" s="5" t="s">
        <v>704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510</v>
      </c>
      <c r="BB141" s="5" t="s">
        <v>509</v>
      </c>
      <c r="BC141" s="5" t="s">
        <v>509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2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285</v>
      </c>
      <c r="H142" s="5" t="s">
        <v>705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510</v>
      </c>
      <c r="BB142" s="5" t="s">
        <v>509</v>
      </c>
      <c r="BC142" s="5" t="s">
        <v>509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2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286</v>
      </c>
      <c r="H143" s="5" t="s">
        <v>706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510</v>
      </c>
      <c r="BB143" s="5" t="s">
        <v>509</v>
      </c>
      <c r="BC143" s="5" t="s">
        <v>509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2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507</v>
      </c>
      <c r="H144" s="5" t="s">
        <v>707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510</v>
      </c>
      <c r="BB144" s="5" t="s">
        <v>510</v>
      </c>
      <c r="BC144" s="5" t="s">
        <v>510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270</v>
      </c>
      <c r="DE144" s="5"/>
    </row>
    <row r="145" spans="1:109" x14ac:dyDescent="0.2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508</v>
      </c>
      <c r="H145" s="5" t="s">
        <v>708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509</v>
      </c>
      <c r="BB145" s="5" t="s">
        <v>509</v>
      </c>
      <c r="BC145" s="5" t="s">
        <v>509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301</v>
      </c>
      <c r="DE145" s="5"/>
    </row>
    <row r="146" spans="1:109" x14ac:dyDescent="0.2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273</v>
      </c>
      <c r="H146" s="5" t="s">
        <v>709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510</v>
      </c>
      <c r="BB146" s="5" t="s">
        <v>510</v>
      </c>
      <c r="BC146" s="5" t="s">
        <v>510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276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2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787</v>
      </c>
      <c r="H147" s="5" t="s">
        <v>784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510</v>
      </c>
      <c r="BB147" s="5" t="s">
        <v>510</v>
      </c>
      <c r="BC147" s="5" t="s">
        <v>510</v>
      </c>
      <c r="BD147" s="5"/>
      <c r="BE147" s="5"/>
      <c r="BF147" s="5"/>
      <c r="BG147" s="5"/>
      <c r="BH147" s="5"/>
      <c r="BI147" s="5" t="s">
        <v>816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786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2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788</v>
      </c>
      <c r="H148" s="5" t="s">
        <v>785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510</v>
      </c>
      <c r="BB148" s="5" t="s">
        <v>510</v>
      </c>
      <c r="BC148" s="5" t="s">
        <v>510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372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2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83</v>
      </c>
      <c r="H149" s="5" t="s">
        <v>710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509</v>
      </c>
      <c r="BB149" s="5" t="s">
        <v>509</v>
      </c>
      <c r="BC149" s="5" t="s">
        <v>509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2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548</v>
      </c>
      <c r="H150" s="5" t="s">
        <v>711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549</v>
      </c>
      <c r="AA150" s="5" t="s">
        <v>442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550</v>
      </c>
      <c r="BL150" s="5" t="s">
        <v>781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2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584</v>
      </c>
      <c r="H151" s="5" t="s">
        <v>712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2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293</v>
      </c>
      <c r="H152" s="5" t="s">
        <v>713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2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290</v>
      </c>
      <c r="H153" s="5" t="s">
        <v>714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291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2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424</v>
      </c>
      <c r="H154" s="5" t="s">
        <v>715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512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 t="s">
        <v>472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2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297</v>
      </c>
      <c r="H155" s="5" t="s">
        <v>714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2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425</v>
      </c>
      <c r="H156" s="5" t="s">
        <v>715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512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 t="s">
        <v>473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2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446</v>
      </c>
      <c r="H157" s="5" t="s">
        <v>218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447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2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428</v>
      </c>
      <c r="H158" s="5" t="s">
        <v>218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430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429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2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111</v>
      </c>
      <c r="H159" s="5" t="s">
        <v>670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2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596</v>
      </c>
      <c r="H160" s="11" t="s">
        <v>716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2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595</v>
      </c>
      <c r="H161" s="11" t="s">
        <v>717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2">
      <c r="A162" s="5" t="str">
        <f>Column!$C162&amp;"_"&amp;Column!$G162</f>
        <v>LoginKeys_LoginId</v>
      </c>
      <c r="B162" s="5" t="s">
        <v>537</v>
      </c>
      <c r="C162" s="5" t="s">
        <v>538</v>
      </c>
      <c r="D162" s="5"/>
      <c r="E162" s="5"/>
      <c r="F162" s="5" t="s">
        <v>536</v>
      </c>
      <c r="G162" s="5" t="s">
        <v>534</v>
      </c>
      <c r="H162" s="5" t="s">
        <v>687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2">
      <c r="A163" s="5" t="str">
        <f>Column!$C163&amp;"_"&amp;Column!$G163</f>
        <v>LoginKeys_Key</v>
      </c>
      <c r="B163" s="5" t="s">
        <v>537</v>
      </c>
      <c r="C163" s="5" t="s">
        <v>538</v>
      </c>
      <c r="D163" s="5"/>
      <c r="E163" s="5"/>
      <c r="F163" s="5" t="s">
        <v>536</v>
      </c>
      <c r="G163" s="5" t="s">
        <v>535</v>
      </c>
      <c r="H163" s="5" t="s">
        <v>718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2">
      <c r="A164" s="5" t="str">
        <f>Column!$C164&amp;"_"&amp;Column!$G164</f>
        <v>LoginKeys_TenantNames</v>
      </c>
      <c r="B164" s="5" t="s">
        <v>537</v>
      </c>
      <c r="C164" s="5" t="s">
        <v>538</v>
      </c>
      <c r="D164" s="5"/>
      <c r="E164" s="5"/>
      <c r="F164" s="5" t="s">
        <v>536</v>
      </c>
      <c r="G164" s="5" t="s">
        <v>541</v>
      </c>
      <c r="H164" s="5" t="s">
        <v>719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2">
      <c r="A165" s="5" t="str">
        <f>Column!$C165&amp;"_"&amp;Column!$G165</f>
        <v>LoginKeys_TenantId</v>
      </c>
      <c r="B165" s="5" t="s">
        <v>537</v>
      </c>
      <c r="C165" s="5" t="s">
        <v>538</v>
      </c>
      <c r="D165" s="5"/>
      <c r="E165" s="5"/>
      <c r="F165" s="5" t="s">
        <v>536</v>
      </c>
      <c r="G165" s="5" t="s">
        <v>542</v>
      </c>
      <c r="H165" s="5" t="s">
        <v>631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2">
      <c r="A166" s="5" t="str">
        <f>Column!$C166&amp;"_"&amp;Column!$G166</f>
        <v>LoginKeys_UserId</v>
      </c>
      <c r="B166" s="5" t="s">
        <v>537</v>
      </c>
      <c r="C166" s="5" t="s">
        <v>538</v>
      </c>
      <c r="D166" s="5"/>
      <c r="E166" s="5"/>
      <c r="F166" s="5" t="s">
        <v>536</v>
      </c>
      <c r="G166" s="5" t="s">
        <v>540</v>
      </c>
      <c r="H166" s="5" t="s">
        <v>685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2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175</v>
      </c>
      <c r="H167" s="5" t="s">
        <v>720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2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174</v>
      </c>
      <c r="H168" s="5" t="s">
        <v>721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2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172</v>
      </c>
      <c r="H169" s="5" t="s">
        <v>722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2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170</v>
      </c>
      <c r="H170" s="5" t="s">
        <v>218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2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218</v>
      </c>
      <c r="G171" s="5" t="s">
        <v>247</v>
      </c>
      <c r="H171" s="5" t="s">
        <v>621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248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2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289</v>
      </c>
      <c r="H172" s="5" t="s">
        <v>723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2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103</v>
      </c>
      <c r="H173" s="5" t="s">
        <v>679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2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503</v>
      </c>
      <c r="H174" s="5" t="s">
        <v>683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2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106</v>
      </c>
      <c r="H175" s="5" t="s">
        <v>685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2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35</v>
      </c>
      <c r="H176" s="5" t="s">
        <v>681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256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212</v>
      </c>
      <c r="AV176" s="5" t="s">
        <v>495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2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504</v>
      </c>
      <c r="H177" s="5" t="s">
        <v>684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505</v>
      </c>
      <c r="AU177" s="5" t="s">
        <v>212</v>
      </c>
      <c r="AV177" s="5" t="s">
        <v>506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2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532</v>
      </c>
      <c r="H178" s="5" t="s">
        <v>689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501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2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115</v>
      </c>
      <c r="H179" s="5" t="s">
        <v>724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305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2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230</v>
      </c>
      <c r="G180" s="5" t="s">
        <v>288</v>
      </c>
      <c r="H180" s="5" t="s">
        <v>725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2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230</v>
      </c>
      <c r="G181" s="5" t="s">
        <v>289</v>
      </c>
      <c r="H181" s="5" t="s">
        <v>723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2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230</v>
      </c>
      <c r="G182" s="5" t="s">
        <v>306</v>
      </c>
      <c r="H182" s="5" t="s">
        <v>726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307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2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230</v>
      </c>
      <c r="G183" s="5" t="s">
        <v>385</v>
      </c>
      <c r="H183" s="5" t="s">
        <v>727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2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74</v>
      </c>
      <c r="H184" s="5" t="s">
        <v>728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2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75</v>
      </c>
      <c r="H185" s="5" t="s">
        <v>729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2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76</v>
      </c>
      <c r="H186" s="5" t="s">
        <v>730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357</v>
      </c>
      <c r="AA186" s="5" t="s">
        <v>358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359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573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2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77</v>
      </c>
      <c r="H187" s="5" t="s">
        <v>731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491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2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112</v>
      </c>
      <c r="H188" s="5" t="s">
        <v>732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492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2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78</v>
      </c>
      <c r="H189" s="5" t="s">
        <v>733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491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2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230</v>
      </c>
      <c r="G190" s="5" t="s">
        <v>206</v>
      </c>
      <c r="H190" s="5" t="s">
        <v>734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249</v>
      </c>
      <c r="AA190" s="5" t="s">
        <v>250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808</v>
      </c>
      <c r="BJ190" s="5"/>
      <c r="BK190" s="5" t="s">
        <v>362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2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72</v>
      </c>
      <c r="H191" s="5" t="s">
        <v>735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2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187</v>
      </c>
      <c r="H192" s="5" t="s">
        <v>736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284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371</v>
      </c>
      <c r="CE192" s="5" t="s">
        <v>371</v>
      </c>
      <c r="CF192" s="5" t="s">
        <v>371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2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308</v>
      </c>
      <c r="H193" s="5" t="s">
        <v>737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2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309</v>
      </c>
      <c r="H194" s="5" t="s">
        <v>738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2">
      <c r="A195" s="5" t="str">
        <f>Column!$C195&amp;"_"&amp;Column!$G195</f>
        <v>SearchIndexes_Word</v>
      </c>
      <c r="B195" s="5" t="s">
        <v>405</v>
      </c>
      <c r="C195" s="5" t="s">
        <v>407</v>
      </c>
      <c r="D195" s="5"/>
      <c r="E195" s="5"/>
      <c r="F195" s="5" t="s">
        <v>406</v>
      </c>
      <c r="G195" s="5" t="s">
        <v>378</v>
      </c>
      <c r="H195" s="5" t="s">
        <v>739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</v>
      </c>
      <c r="Z195" s="5"/>
      <c r="AA195" s="5"/>
      <c r="AB195" s="5">
        <v>256</v>
      </c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2">
      <c r="A196" s="5" t="str">
        <f>Column!$C196&amp;"_"&amp;Column!$G196</f>
        <v>SearchIndexes_ReferenceId</v>
      </c>
      <c r="B196" s="5" t="s">
        <v>405</v>
      </c>
      <c r="C196" s="5" t="s">
        <v>407</v>
      </c>
      <c r="D196" s="5"/>
      <c r="E196" s="5"/>
      <c r="F196" s="5" t="s">
        <v>406</v>
      </c>
      <c r="G196" s="5" t="s">
        <v>379</v>
      </c>
      <c r="H196" s="5" t="s">
        <v>723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30</v>
      </c>
      <c r="Z196" s="5"/>
      <c r="AA196" s="5"/>
      <c r="AB196" s="5"/>
      <c r="AC196" s="5"/>
      <c r="AD196" s="5">
        <v>2</v>
      </c>
      <c r="AE196" s="5"/>
      <c r="AF196" s="5">
        <v>2</v>
      </c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2">
      <c r="A197" s="5" t="str">
        <f>Column!$C197&amp;"_"&amp;Column!$G197</f>
        <v>SearchIndexes_Priority</v>
      </c>
      <c r="B197" s="5" t="s">
        <v>405</v>
      </c>
      <c r="C197" s="5" t="s">
        <v>407</v>
      </c>
      <c r="D197" s="5"/>
      <c r="E197" s="5"/>
      <c r="F197" s="5" t="s">
        <v>406</v>
      </c>
      <c r="G197" s="5" t="s">
        <v>381</v>
      </c>
      <c r="H197" s="5" t="s">
        <v>740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101</v>
      </c>
      <c r="U197" s="5"/>
      <c r="V197" s="5">
        <v>101</v>
      </c>
      <c r="W197" s="5"/>
      <c r="X197" s="5"/>
      <c r="Y197" s="5" t="s">
        <v>380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>
        <v>1</v>
      </c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2">
      <c r="A198" s="5" t="str">
        <f>Column!$C198&amp;"_"&amp;Column!$G198</f>
        <v>SearchIndexes_ReferenceType</v>
      </c>
      <c r="B198" s="5" t="s">
        <v>405</v>
      </c>
      <c r="C198" s="5" t="s">
        <v>407</v>
      </c>
      <c r="D198" s="5"/>
      <c r="E198" s="5"/>
      <c r="F198" s="5" t="s">
        <v>406</v>
      </c>
      <c r="G198" s="5" t="s">
        <v>288</v>
      </c>
      <c r="H198" s="5" t="s">
        <v>725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 t="s">
        <v>500</v>
      </c>
      <c r="AU198" s="5" t="s">
        <v>345</v>
      </c>
      <c r="AV198" s="5" t="s">
        <v>494</v>
      </c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2">
      <c r="A199" s="5" t="str">
        <f>Column!$C199&amp;"_"&amp;Column!$G199</f>
        <v>SearchIndexes_Title</v>
      </c>
      <c r="B199" s="5" t="s">
        <v>405</v>
      </c>
      <c r="C199" s="5" t="s">
        <v>407</v>
      </c>
      <c r="D199" s="5"/>
      <c r="E199" s="5"/>
      <c r="F199" s="5" t="s">
        <v>406</v>
      </c>
      <c r="G199" s="5" t="s">
        <v>396</v>
      </c>
      <c r="H199" s="5" t="s">
        <v>621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 t="s">
        <v>500</v>
      </c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2">
      <c r="A200" s="5" t="str">
        <f>Column!$C200&amp;"_"&amp;Column!$G200</f>
        <v>SearchIndexes_Subset</v>
      </c>
      <c r="B200" s="5" t="s">
        <v>405</v>
      </c>
      <c r="C200" s="5" t="s">
        <v>407</v>
      </c>
      <c r="D200" s="5"/>
      <c r="E200" s="5"/>
      <c r="F200" s="5" t="s">
        <v>406</v>
      </c>
      <c r="G200" s="5" t="s">
        <v>382</v>
      </c>
      <c r="H200" s="5" t="s">
        <v>741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 t="s">
        <v>500</v>
      </c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2">
      <c r="A201" s="5" t="str">
        <f>Column!$C201&amp;"_"&amp;Column!$G201</f>
        <v>SearchIndexes_InheritPermission</v>
      </c>
      <c r="B201" s="5" t="s">
        <v>405</v>
      </c>
      <c r="C201" s="5" t="s">
        <v>407</v>
      </c>
      <c r="D201" s="5"/>
      <c r="E201" s="5"/>
      <c r="F201" s="5" t="s">
        <v>406</v>
      </c>
      <c r="G201" s="5" t="s">
        <v>560</v>
      </c>
      <c r="H201" s="5" t="s">
        <v>742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559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 t="s">
        <v>561</v>
      </c>
      <c r="AU201" s="5" t="s">
        <v>345</v>
      </c>
      <c r="AV201" s="5" t="s">
        <v>562</v>
      </c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2">
      <c r="A202" s="5" t="str">
        <f>Column!$C202&amp;"_"&amp;Column!$G202</f>
        <v>Items_ReferenceId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340</v>
      </c>
      <c r="H202" s="5" t="s">
        <v>723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30</v>
      </c>
      <c r="Z202" s="5"/>
      <c r="AA202" s="5"/>
      <c r="AB202" s="5"/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>
        <v>2</v>
      </c>
      <c r="AK202" s="5"/>
      <c r="AL202" s="5">
        <v>3</v>
      </c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 t="s">
        <v>113</v>
      </c>
      <c r="CC202" s="5">
        <v>1</v>
      </c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2">
      <c r="A203" s="5" t="str">
        <f>Column!$C203&amp;"_"&amp;Column!$G203</f>
        <v>Items_ReferenceType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288</v>
      </c>
      <c r="H203" s="5" t="s">
        <v>725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101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</v>
      </c>
      <c r="Z203" s="5"/>
      <c r="AA203" s="5"/>
      <c r="AB203" s="5">
        <v>32</v>
      </c>
      <c r="AC203" s="5"/>
      <c r="AD203" s="5"/>
      <c r="AE203" s="5"/>
      <c r="AF203" s="5"/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2">
      <c r="A204" s="5" t="str">
        <f>Column!$C204&amp;"_"&amp;Column!$G204</f>
        <v>Items_SiteId</v>
      </c>
      <c r="B204" s="5" t="s">
        <v>176</v>
      </c>
      <c r="C204" s="5" t="s">
        <v>177</v>
      </c>
      <c r="D204" s="5"/>
      <c r="E204" s="5"/>
      <c r="F204" s="5" t="s">
        <v>229</v>
      </c>
      <c r="G204" s="5" t="s">
        <v>183</v>
      </c>
      <c r="H204" s="5" t="s">
        <v>619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>
        <v>102</v>
      </c>
      <c r="R204" s="5">
        <v>1</v>
      </c>
      <c r="S204" s="5"/>
      <c r="T204" s="5">
        <v>102</v>
      </c>
      <c r="U204" s="5"/>
      <c r="V204" s="5">
        <v>102</v>
      </c>
      <c r="W204" s="5"/>
      <c r="X204" s="5"/>
      <c r="Y204" s="5" t="s">
        <v>184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>
        <v>1</v>
      </c>
      <c r="AK204" s="5"/>
      <c r="AL204" s="5"/>
      <c r="AM204" s="5"/>
      <c r="AN204" s="5"/>
      <c r="AO204" s="5">
        <v>0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2">
      <c r="A205" s="5" t="str">
        <f>Column!$C205&amp;"_"&amp;Column!$G205</f>
        <v>Items_Title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392</v>
      </c>
      <c r="H205" s="5" t="s">
        <v>621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3</v>
      </c>
      <c r="Z205" s="5"/>
      <c r="AA205" s="5"/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2">
      <c r="A206" s="5" t="str">
        <f>Column!$C206&amp;"_"&amp;Column!$G206</f>
        <v>Items_Site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185</v>
      </c>
      <c r="H206" s="5" t="s">
        <v>217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104</v>
      </c>
      <c r="U206" s="5"/>
      <c r="V206" s="5">
        <v>104</v>
      </c>
      <c r="W206" s="5"/>
      <c r="X206" s="5"/>
      <c r="Y206" s="5" t="s">
        <v>186</v>
      </c>
      <c r="Z206" s="5" t="s">
        <v>186</v>
      </c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 t="s">
        <v>211</v>
      </c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>
        <v>1</v>
      </c>
      <c r="BG206" s="5">
        <v>1</v>
      </c>
      <c r="BH206" s="5">
        <v>1</v>
      </c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2">
      <c r="A207" s="5" t="str">
        <f>Column!$C207&amp;"_"&amp;Column!$G207</f>
        <v>Items_FullText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558</v>
      </c>
      <c r="H207" s="5" t="s">
        <v>743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105</v>
      </c>
      <c r="U207" s="5"/>
      <c r="V207" s="5">
        <v>105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>
        <v>1</v>
      </c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2">
      <c r="A208" s="5" t="str">
        <f>Column!$C208&amp;"_"&amp;Column!$G208</f>
        <v>Items_SearchIndexCreatedTime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546</v>
      </c>
      <c r="H208" s="5" t="s">
        <v>744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106</v>
      </c>
      <c r="U208" s="5"/>
      <c r="V208" s="5">
        <v>106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>
        <v>1</v>
      </c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2">
      <c r="A209" s="5" t="str">
        <f>Column!$C209&amp;"_"&amp;Column!$G209</f>
        <v>Items_UpdatedTime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547</v>
      </c>
      <c r="H209" s="5" t="s">
        <v>745</v>
      </c>
      <c r="I209" s="5">
        <v>990</v>
      </c>
      <c r="J209" s="5">
        <v>990</v>
      </c>
      <c r="K209" s="5"/>
      <c r="L209" s="5">
        <v>990</v>
      </c>
      <c r="M209" s="5">
        <v>990</v>
      </c>
      <c r="N209" s="5">
        <v>990</v>
      </c>
      <c r="O209" s="5">
        <v>990</v>
      </c>
      <c r="P209" s="5"/>
      <c r="Q209" s="5">
        <v>990</v>
      </c>
      <c r="R209" s="5"/>
      <c r="S209" s="5"/>
      <c r="T209" s="5">
        <v>990</v>
      </c>
      <c r="U209" s="5">
        <v>1</v>
      </c>
      <c r="V209" s="5">
        <v>3</v>
      </c>
      <c r="W209" s="5">
        <v>1</v>
      </c>
      <c r="X209" s="5"/>
      <c r="Y209" s="5" t="s">
        <v>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>
        <v>2</v>
      </c>
      <c r="AM209" s="5"/>
      <c r="AN209" s="5"/>
      <c r="AO209" s="5" t="s">
        <v>213</v>
      </c>
      <c r="AP209" s="5" t="s">
        <v>211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>
        <v>200</v>
      </c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>
        <v>1</v>
      </c>
      <c r="CB209" s="5"/>
      <c r="CC209" s="5"/>
      <c r="CD209" s="5" t="s">
        <v>370</v>
      </c>
      <c r="CE209" s="5" t="s">
        <v>371</v>
      </c>
      <c r="CF209" s="5" t="s">
        <v>371</v>
      </c>
      <c r="CG209" s="5"/>
      <c r="CH209" s="5">
        <v>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2">
      <c r="A210" s="5" t="str">
        <f>Column!$C210&amp;"_"&amp;Column!$G210</f>
        <v>Sites_TenantId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267</v>
      </c>
      <c r="H210" s="5" t="s">
        <v>646</v>
      </c>
      <c r="I210" s="5">
        <v>1</v>
      </c>
      <c r="J210" s="5">
        <v>1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</v>
      </c>
      <c r="U210" s="5"/>
      <c r="V210" s="5">
        <v>1</v>
      </c>
      <c r="W210" s="5"/>
      <c r="X210" s="5"/>
      <c r="Y210" s="5" t="s">
        <v>1</v>
      </c>
      <c r="Z210" s="5"/>
      <c r="AA210" s="5"/>
      <c r="AB210" s="5"/>
      <c r="AC210" s="5"/>
      <c r="AD210" s="5">
        <v>1</v>
      </c>
      <c r="AE210" s="5"/>
      <c r="AF210" s="5">
        <v>1</v>
      </c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>
        <v>1</v>
      </c>
      <c r="BR210" s="5">
        <v>1</v>
      </c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2">
      <c r="A211" s="5" t="str">
        <f>Column!$C211&amp;"_"&amp;Column!$G211</f>
        <v>Sites_SiteId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101</v>
      </c>
      <c r="H211" s="5" t="s">
        <v>619</v>
      </c>
      <c r="I211" s="5">
        <v>2</v>
      </c>
      <c r="J211" s="5">
        <v>2</v>
      </c>
      <c r="K211" s="5"/>
      <c r="L211" s="5"/>
      <c r="M211" s="5">
        <v>1</v>
      </c>
      <c r="N211" s="5"/>
      <c r="O211" s="5"/>
      <c r="P211" s="5"/>
      <c r="Q211" s="5">
        <v>2</v>
      </c>
      <c r="R211" s="5">
        <v>1</v>
      </c>
      <c r="S211" s="5"/>
      <c r="T211" s="5">
        <v>2</v>
      </c>
      <c r="U211" s="5"/>
      <c r="V211" s="5">
        <v>2</v>
      </c>
      <c r="W211" s="5"/>
      <c r="X211" s="5"/>
      <c r="Y211" s="5" t="s">
        <v>0</v>
      </c>
      <c r="Z211" s="5"/>
      <c r="AA211" s="5"/>
      <c r="AB211" s="5"/>
      <c r="AC211" s="5"/>
      <c r="AD211" s="5">
        <v>2</v>
      </c>
      <c r="AE211" s="5"/>
      <c r="AF211" s="5">
        <v>2</v>
      </c>
      <c r="AG211" s="5"/>
      <c r="AH211" s="5">
        <v>2</v>
      </c>
      <c r="AI211" s="5"/>
      <c r="AJ211" s="5">
        <v>1</v>
      </c>
      <c r="AK211" s="5"/>
      <c r="AL211" s="5"/>
      <c r="AM211" s="5"/>
      <c r="AN211" s="5"/>
      <c r="AO211" s="5"/>
      <c r="AP211" s="5"/>
      <c r="AQ211" s="5"/>
      <c r="AR211" s="5">
        <v>1</v>
      </c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>
        <v>1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>
        <v>10</v>
      </c>
      <c r="BQ211" s="5"/>
      <c r="BR211" s="5"/>
      <c r="BS211" s="5"/>
      <c r="BT211" s="5" t="s">
        <v>512</v>
      </c>
      <c r="BU211" s="5"/>
      <c r="BV211" s="5"/>
      <c r="BW211" s="5"/>
      <c r="BX211" s="5"/>
      <c r="BY211" s="5"/>
      <c r="BZ211" s="5"/>
      <c r="CA211" s="5"/>
      <c r="CB211" s="5" t="s">
        <v>113</v>
      </c>
      <c r="CC211" s="5">
        <v>1</v>
      </c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2">
      <c r="A212" s="5" t="str">
        <f>Column!$C212&amp;"_"&amp;Column!$G212</f>
        <v>Sites_Title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64</v>
      </c>
      <c r="H212" s="5" t="s">
        <v>621</v>
      </c>
      <c r="I212" s="5">
        <v>51</v>
      </c>
      <c r="J212" s="5">
        <v>51</v>
      </c>
      <c r="K212" s="5"/>
      <c r="L212" s="5">
        <v>51</v>
      </c>
      <c r="M212" s="5">
        <v>51</v>
      </c>
      <c r="N212" s="5"/>
      <c r="O212" s="5"/>
      <c r="P212" s="5"/>
      <c r="Q212" s="5">
        <v>51</v>
      </c>
      <c r="R212" s="5">
        <v>1</v>
      </c>
      <c r="S212" s="5">
        <v>51</v>
      </c>
      <c r="T212" s="5">
        <v>51</v>
      </c>
      <c r="U212" s="5">
        <v>1</v>
      </c>
      <c r="V212" s="5">
        <v>4</v>
      </c>
      <c r="W212" s="5">
        <v>1</v>
      </c>
      <c r="X212" s="5"/>
      <c r="Y212" s="5" t="s">
        <v>68</v>
      </c>
      <c r="Z212" s="5" t="s">
        <v>64</v>
      </c>
      <c r="AA212" s="5" t="s">
        <v>204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>
        <v>1</v>
      </c>
      <c r="AX212" s="5"/>
      <c r="AY212" s="5">
        <v>1</v>
      </c>
      <c r="AZ212" s="5"/>
      <c r="BA212" s="5"/>
      <c r="BB212" s="5"/>
      <c r="BC212" s="5"/>
      <c r="BD212" s="5"/>
      <c r="BE212" s="5">
        <v>4</v>
      </c>
      <c r="BF212" s="5"/>
      <c r="BG212" s="5"/>
      <c r="BH212" s="5"/>
      <c r="BI212" s="5" t="s">
        <v>808</v>
      </c>
      <c r="BJ212" s="5" t="s">
        <v>588</v>
      </c>
      <c r="BK212" s="5" t="s">
        <v>361</v>
      </c>
      <c r="BL212" s="5"/>
      <c r="BM212" s="5"/>
      <c r="BN212" s="5"/>
      <c r="BO212" s="5"/>
      <c r="BP212" s="5">
        <v>1</v>
      </c>
      <c r="BQ212" s="5"/>
      <c r="BR212" s="5"/>
      <c r="BS212" s="5" t="s">
        <v>210</v>
      </c>
      <c r="BT212" s="5" t="s">
        <v>197</v>
      </c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>
        <v>1</v>
      </c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>
        <v>1</v>
      </c>
      <c r="DD212" s="5"/>
      <c r="DE212" s="5"/>
    </row>
    <row r="213" spans="1:109" x14ac:dyDescent="0.2">
      <c r="A213" s="5" t="str">
        <f>Column!$C213&amp;"_"&amp;Column!$G213</f>
        <v>Sites_GridGuide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807</v>
      </c>
      <c r="H213" s="5" t="s">
        <v>805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/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 t="s">
        <v>557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2">
      <c r="A214" s="5" t="str">
        <f>Column!$C214&amp;"_"&amp;Column!$G214</f>
        <v>Sites_EditorGuide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/>
      <c r="S214" s="5"/>
      <c r="T214" s="5">
        <v>102</v>
      </c>
      <c r="U214" s="5"/>
      <c r="V214" s="5">
        <v>102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 t="s">
        <v>557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2">
      <c r="A215" s="5" t="str">
        <f>Column!$C215&amp;"_"&amp;Column!$G215</f>
        <v>Sites_ReferenceType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288</v>
      </c>
      <c r="H215" s="5" t="s">
        <v>746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>
        <v>103</v>
      </c>
      <c r="R215" s="5">
        <v>1</v>
      </c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 t="s">
        <v>132</v>
      </c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 t="s">
        <v>509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2">
      <c r="A216" s="5" t="str">
        <f>Column!$C216&amp;"_"&amp;Column!$G216</f>
        <v>Sites_ParentId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107</v>
      </c>
      <c r="H216" s="5" t="s">
        <v>747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0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2">
      <c r="A217" s="5" t="str">
        <f>Column!$C217&amp;"_"&amp;Column!$G217</f>
        <v>Sites_InheritPermission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40</v>
      </c>
      <c r="H217" s="5" t="s">
        <v>742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>
        <v>105</v>
      </c>
      <c r="R217" s="5">
        <v>1</v>
      </c>
      <c r="S217" s="5"/>
      <c r="T217" s="5">
        <v>105</v>
      </c>
      <c r="U217" s="5"/>
      <c r="V217" s="5">
        <v>105</v>
      </c>
      <c r="W217" s="5"/>
      <c r="X217" s="5"/>
      <c r="Y217" s="5" t="s">
        <v>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2">
      <c r="A218" s="5" t="str">
        <f>Column!$C218&amp;"_"&amp;Column!$G218</f>
        <v>Sites_SiteSettings</v>
      </c>
      <c r="B218" s="6" t="s">
        <v>29</v>
      </c>
      <c r="C218" s="5" t="s">
        <v>132</v>
      </c>
      <c r="D218" s="5"/>
      <c r="E218" s="5"/>
      <c r="F218" s="5" t="s">
        <v>217</v>
      </c>
      <c r="G218" s="5" t="s">
        <v>161</v>
      </c>
      <c r="H218" s="5" t="s">
        <v>748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3</v>
      </c>
      <c r="Z218" s="5" t="s">
        <v>161</v>
      </c>
      <c r="AA218" s="5" t="s">
        <v>597</v>
      </c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>
        <v>1</v>
      </c>
      <c r="BG218" s="5"/>
      <c r="BH218" s="5"/>
      <c r="BI218" s="5"/>
      <c r="BJ218" s="5"/>
      <c r="BK218" s="5" t="s">
        <v>600</v>
      </c>
      <c r="BL218" s="5" t="s">
        <v>803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2">
      <c r="A219" s="5" t="str">
        <f>Column!$C219&amp;"_"&amp;Column!$G219</f>
        <v>Sites_Publish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797</v>
      </c>
      <c r="H219" s="5" t="s">
        <v>798</v>
      </c>
      <c r="I219" s="5">
        <v>107</v>
      </c>
      <c r="J219" s="5">
        <v>107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107</v>
      </c>
      <c r="U219" s="5"/>
      <c r="V219" s="5">
        <v>107</v>
      </c>
      <c r="W219" s="5"/>
      <c r="X219" s="5"/>
      <c r="Y219" s="5" t="s">
        <v>9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2">
      <c r="A220" s="5" t="str">
        <f>Column!$C220&amp;"_"&amp;Column!$G220</f>
        <v>Sites_LockedTime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820</v>
      </c>
      <c r="H220" s="5" t="s">
        <v>822</v>
      </c>
      <c r="I220" s="5">
        <v>108</v>
      </c>
      <c r="J220" s="5">
        <v>108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108</v>
      </c>
      <c r="U220" s="5"/>
      <c r="V220" s="5">
        <v>108</v>
      </c>
      <c r="W220" s="5"/>
      <c r="X220" s="5"/>
      <c r="Y220" s="5" t="s">
        <v>8</v>
      </c>
      <c r="Z220" s="5" t="s">
        <v>205</v>
      </c>
      <c r="AA220" s="5" t="s">
        <v>204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 t="s">
        <v>509</v>
      </c>
      <c r="BC220" s="5" t="s">
        <v>509</v>
      </c>
      <c r="BD220" s="5"/>
      <c r="BE220" s="5"/>
      <c r="BF220" s="5">
        <v>1</v>
      </c>
      <c r="BG220" s="5"/>
      <c r="BH220" s="5"/>
      <c r="BI220" s="5"/>
      <c r="BJ220" s="5"/>
      <c r="BK220" s="5" t="s">
        <v>824</v>
      </c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>
        <v>1</v>
      </c>
      <c r="CB220" s="5"/>
      <c r="CC220" s="5"/>
      <c r="CD220" s="5" t="s">
        <v>370</v>
      </c>
      <c r="CE220" s="5" t="s">
        <v>371</v>
      </c>
      <c r="CF220" s="5" t="s">
        <v>371</v>
      </c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2">
      <c r="A221" s="5" t="str">
        <f>Column!$C221&amp;"_"&amp;Column!$G221</f>
        <v>Sites_LockedUser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821</v>
      </c>
      <c r="H221" s="5" t="s">
        <v>823</v>
      </c>
      <c r="I221" s="5">
        <v>109</v>
      </c>
      <c r="J221" s="5">
        <v>109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109</v>
      </c>
      <c r="U221" s="5"/>
      <c r="V221" s="5">
        <v>109</v>
      </c>
      <c r="W221" s="5"/>
      <c r="X221" s="5"/>
      <c r="Y221" s="5" t="s">
        <v>1</v>
      </c>
      <c r="Z221" s="5" t="s">
        <v>334</v>
      </c>
      <c r="AA221" s="5" t="s">
        <v>369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 t="s">
        <v>509</v>
      </c>
      <c r="BC221" s="5" t="s">
        <v>509</v>
      </c>
      <c r="BD221" s="5"/>
      <c r="BE221" s="5"/>
      <c r="BF221" s="5">
        <v>1</v>
      </c>
      <c r="BG221" s="5"/>
      <c r="BH221" s="5"/>
      <c r="BI221" s="5"/>
      <c r="BJ221" s="5"/>
      <c r="BK221" s="5" t="s">
        <v>825</v>
      </c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>
        <v>1</v>
      </c>
      <c r="BZ221" s="5"/>
      <c r="CA221" s="5"/>
      <c r="CB221" s="7" t="s">
        <v>257</v>
      </c>
      <c r="CC221" s="5"/>
      <c r="CD221" s="5"/>
      <c r="CE221" s="5"/>
      <c r="CF221" s="5"/>
      <c r="CG221" s="5"/>
      <c r="CH221" s="5"/>
      <c r="CI221" s="5" t="s">
        <v>351</v>
      </c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2">
      <c r="A222" s="5" t="str">
        <f>Column!$C222&amp;"_"&amp;Column!$G222</f>
        <v>Sites_Ancestors</v>
      </c>
      <c r="B222" s="5" t="s">
        <v>29</v>
      </c>
      <c r="C222" s="5" t="s">
        <v>132</v>
      </c>
      <c r="D222" s="5"/>
      <c r="E222" s="5"/>
      <c r="F222" s="5" t="s">
        <v>217</v>
      </c>
      <c r="G222" s="5" t="s">
        <v>41</v>
      </c>
      <c r="H222" s="5" t="s">
        <v>749</v>
      </c>
      <c r="I222" s="5">
        <v>110</v>
      </c>
      <c r="J222" s="5">
        <v>110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110</v>
      </c>
      <c r="U222" s="5"/>
      <c r="V222" s="5">
        <v>110</v>
      </c>
      <c r="W222" s="5"/>
      <c r="X222" s="5"/>
      <c r="Y222" s="5" t="s">
        <v>42</v>
      </c>
      <c r="Z222" s="5" t="s">
        <v>42</v>
      </c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 t="s">
        <v>211</v>
      </c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>
        <v>1</v>
      </c>
      <c r="BG222" s="5">
        <v>1</v>
      </c>
      <c r="BH222" s="5">
        <v>1</v>
      </c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2">
      <c r="A223" s="5" t="str">
        <f>Column!$C223&amp;"_"&amp;Column!$G223</f>
        <v>Sites_SiteMenu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319</v>
      </c>
      <c r="H223" s="5" t="s">
        <v>314</v>
      </c>
      <c r="I223" s="5">
        <v>111</v>
      </c>
      <c r="J223" s="5">
        <v>111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111</v>
      </c>
      <c r="U223" s="5"/>
      <c r="V223" s="5">
        <v>111</v>
      </c>
      <c r="W223" s="5"/>
      <c r="X223" s="5"/>
      <c r="Y223" s="5" t="s">
        <v>1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2">
      <c r="A224" s="5" t="str">
        <f>Column!$C224&amp;"_"&amp;Column!$G224</f>
        <v>Sites_MonitorChangesColumns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453</v>
      </c>
      <c r="H224" s="5" t="s">
        <v>750</v>
      </c>
      <c r="I224" s="5">
        <v>112</v>
      </c>
      <c r="J224" s="5">
        <v>112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112</v>
      </c>
      <c r="U224" s="5"/>
      <c r="V224" s="5">
        <v>112</v>
      </c>
      <c r="W224" s="5"/>
      <c r="X224" s="5"/>
      <c r="Y224" s="5" t="s">
        <v>452</v>
      </c>
      <c r="Z224" s="5" t="s">
        <v>452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 t="s">
        <v>211</v>
      </c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>
        <v>1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2">
      <c r="A225" s="5" t="str">
        <f>Column!$C225&amp;"_"&amp;Column!$G225</f>
        <v>Sites_TitleColumns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461</v>
      </c>
      <c r="H225" s="5" t="s">
        <v>751</v>
      </c>
      <c r="I225" s="5">
        <v>113</v>
      </c>
      <c r="J225" s="5">
        <v>113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113</v>
      </c>
      <c r="U225" s="5"/>
      <c r="V225" s="5">
        <v>113</v>
      </c>
      <c r="W225" s="5"/>
      <c r="X225" s="5"/>
      <c r="Y225" s="5" t="s">
        <v>452</v>
      </c>
      <c r="Z225" s="5" t="s">
        <v>452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2">
      <c r="A226" s="5" t="str">
        <f>Column!$C226&amp;"_"&amp;Column!$G226</f>
        <v>Sites_Export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224</v>
      </c>
      <c r="H226" s="5" t="s">
        <v>752</v>
      </c>
      <c r="I226" s="5">
        <v>114</v>
      </c>
      <c r="J226" s="5">
        <v>114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114</v>
      </c>
      <c r="U226" s="5"/>
      <c r="V226" s="5">
        <v>114</v>
      </c>
      <c r="W226" s="5"/>
      <c r="X226" s="5"/>
      <c r="Y226" s="5" t="s">
        <v>224</v>
      </c>
      <c r="Z226" s="5" t="s">
        <v>224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211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2">
      <c r="A227" s="5" t="str">
        <f>Column!$C227&amp;"_"&amp;Column!$G227</f>
        <v>Orders_ReferenceId</v>
      </c>
      <c r="B227" s="5" t="s">
        <v>313</v>
      </c>
      <c r="C227" s="5" t="s">
        <v>312</v>
      </c>
      <c r="D227" s="5"/>
      <c r="E227" s="5"/>
      <c r="F227" s="5" t="s">
        <v>314</v>
      </c>
      <c r="G227" s="5" t="s">
        <v>289</v>
      </c>
      <c r="H227" s="5" t="s">
        <v>723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</v>
      </c>
      <c r="U227" s="5"/>
      <c r="V227" s="5">
        <v>1</v>
      </c>
      <c r="W227" s="5"/>
      <c r="X227" s="5"/>
      <c r="Y227" s="5" t="s">
        <v>30</v>
      </c>
      <c r="Z227" s="5"/>
      <c r="AA227" s="5"/>
      <c r="AB227" s="5"/>
      <c r="AC227" s="5"/>
      <c r="AD227" s="5">
        <v>1</v>
      </c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2">
      <c r="A228" s="5" t="str">
        <f>Column!$C228&amp;"_"&amp;Column!$G228</f>
        <v>Orders_ReferenceType</v>
      </c>
      <c r="B228" s="5" t="s">
        <v>313</v>
      </c>
      <c r="C228" s="5" t="s">
        <v>312</v>
      </c>
      <c r="D228" s="5"/>
      <c r="E228" s="5"/>
      <c r="F228" s="5" t="s">
        <v>314</v>
      </c>
      <c r="G228" s="5" t="s">
        <v>288</v>
      </c>
      <c r="H228" s="5" t="s">
        <v>725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2</v>
      </c>
      <c r="U228" s="5"/>
      <c r="V228" s="5">
        <v>2</v>
      </c>
      <c r="W228" s="5"/>
      <c r="X228" s="5"/>
      <c r="Y228" s="5" t="s">
        <v>3</v>
      </c>
      <c r="Z228" s="5"/>
      <c r="AA228" s="5"/>
      <c r="AB228" s="5">
        <v>32</v>
      </c>
      <c r="AC228" s="5"/>
      <c r="AD228" s="5">
        <v>2</v>
      </c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2">
      <c r="A229" s="5" t="str">
        <f>Column!$C229&amp;"_"&amp;Column!$G229</f>
        <v>Orders_OwnerId</v>
      </c>
      <c r="B229" s="5" t="s">
        <v>313</v>
      </c>
      <c r="C229" s="5" t="s">
        <v>312</v>
      </c>
      <c r="D229" s="5"/>
      <c r="E229" s="5"/>
      <c r="F229" s="5" t="s">
        <v>314</v>
      </c>
      <c r="G229" s="5" t="s">
        <v>175</v>
      </c>
      <c r="H229" s="5" t="s">
        <v>720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3</v>
      </c>
      <c r="U229" s="5"/>
      <c r="V229" s="5">
        <v>3</v>
      </c>
      <c r="W229" s="5"/>
      <c r="X229" s="5"/>
      <c r="Y229" s="5" t="s">
        <v>1</v>
      </c>
      <c r="Z229" s="5"/>
      <c r="AA229" s="5"/>
      <c r="AB229" s="5"/>
      <c r="AC229" s="5"/>
      <c r="AD229" s="5">
        <v>3</v>
      </c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7"/>
      <c r="CC229" s="7"/>
      <c r="CD229" s="7"/>
      <c r="CE229" s="7"/>
      <c r="CF229" s="7"/>
      <c r="CG229" s="7"/>
      <c r="CH229" s="7"/>
      <c r="CI229" s="6"/>
      <c r="CJ229" s="6"/>
      <c r="CK229" s="6"/>
      <c r="CL229" s="6"/>
      <c r="CM229" s="6"/>
      <c r="CN229" s="5"/>
      <c r="CO229" s="5"/>
      <c r="CP229" s="5"/>
      <c r="CQ229" s="5"/>
      <c r="CR229" s="5"/>
      <c r="CS229" s="5"/>
      <c r="CT229" s="6"/>
      <c r="CU229" s="6"/>
      <c r="CV229" s="6"/>
      <c r="CW229" s="6"/>
      <c r="CX229" s="6"/>
      <c r="CY229" s="6"/>
      <c r="CZ229" s="6"/>
      <c r="DA229" s="6"/>
      <c r="DB229" s="6"/>
      <c r="DC229" s="5"/>
      <c r="DD229" s="5"/>
      <c r="DE229" s="5"/>
    </row>
    <row r="230" spans="1:109" x14ac:dyDescent="0.2">
      <c r="A230" s="5" t="str">
        <f>Column!$C230&amp;"_"&amp;Column!$G230</f>
        <v>Orders_Data</v>
      </c>
      <c r="B230" s="5" t="s">
        <v>313</v>
      </c>
      <c r="C230" s="5" t="s">
        <v>312</v>
      </c>
      <c r="D230" s="5"/>
      <c r="E230" s="5"/>
      <c r="F230" s="5" t="s">
        <v>314</v>
      </c>
      <c r="G230" s="5" t="s">
        <v>317</v>
      </c>
      <c r="H230" s="5" t="s">
        <v>314</v>
      </c>
      <c r="I230" s="5">
        <v>101</v>
      </c>
      <c r="J230" s="5">
        <v>101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101</v>
      </c>
      <c r="U230" s="5"/>
      <c r="V230" s="5">
        <v>101</v>
      </c>
      <c r="W230" s="5"/>
      <c r="X230" s="5"/>
      <c r="Y230" s="5" t="s">
        <v>315</v>
      </c>
      <c r="Z230" s="5" t="s">
        <v>316</v>
      </c>
      <c r="AA230" s="5" t="s">
        <v>223</v>
      </c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 t="s">
        <v>318</v>
      </c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 t="s">
        <v>572</v>
      </c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2">
      <c r="A231" s="5" t="str">
        <f>Column!$C231&amp;"_"&amp;Column!$G231</f>
        <v>ExportSettings_ReferenceType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288</v>
      </c>
      <c r="H231" s="5" t="s">
        <v>725</v>
      </c>
      <c r="I231" s="5">
        <v>1</v>
      </c>
      <c r="J231" s="5">
        <v>1</v>
      </c>
      <c r="K231" s="5"/>
      <c r="L231" s="5"/>
      <c r="M231" s="5"/>
      <c r="N231" s="5"/>
      <c r="O231" s="5"/>
      <c r="P231" s="5"/>
      <c r="Q231" s="5">
        <v>1</v>
      </c>
      <c r="R231" s="5">
        <v>1</v>
      </c>
      <c r="S231" s="5"/>
      <c r="T231" s="5">
        <v>1</v>
      </c>
      <c r="U231" s="5"/>
      <c r="V231" s="5">
        <v>1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>
        <v>1</v>
      </c>
      <c r="AE231" s="5"/>
      <c r="AF231" s="5">
        <v>1</v>
      </c>
      <c r="AG231" s="5"/>
      <c r="AH231" s="5">
        <v>2</v>
      </c>
      <c r="AI231" s="5"/>
      <c r="AJ231" s="5"/>
      <c r="AK231" s="5"/>
      <c r="AL231" s="5"/>
      <c r="AM231" s="5"/>
      <c r="AN231" s="5"/>
      <c r="AO231" s="5" t="s">
        <v>132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2">
      <c r="A232" s="5" t="str">
        <f>Column!$C232&amp;"_"&amp;Column!$G232</f>
        <v>ExportSettings_ReferenceId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289</v>
      </c>
      <c r="H232" s="5" t="s">
        <v>723</v>
      </c>
      <c r="I232" s="5">
        <v>2</v>
      </c>
      <c r="J232" s="5">
        <v>2</v>
      </c>
      <c r="K232" s="5"/>
      <c r="L232" s="5"/>
      <c r="M232" s="5"/>
      <c r="N232" s="5"/>
      <c r="O232" s="5"/>
      <c r="P232" s="5"/>
      <c r="Q232" s="5">
        <v>2</v>
      </c>
      <c r="R232" s="5">
        <v>1</v>
      </c>
      <c r="S232" s="5"/>
      <c r="T232" s="5">
        <v>2</v>
      </c>
      <c r="U232" s="5"/>
      <c r="V232" s="5">
        <v>2</v>
      </c>
      <c r="W232" s="5"/>
      <c r="X232" s="5"/>
      <c r="Y232" s="5" t="s">
        <v>239</v>
      </c>
      <c r="Z232" s="5"/>
      <c r="AA232" s="5"/>
      <c r="AB232" s="5"/>
      <c r="AC232" s="5"/>
      <c r="AD232" s="5">
        <v>2</v>
      </c>
      <c r="AE232" s="5"/>
      <c r="AF232" s="5">
        <v>2</v>
      </c>
      <c r="AG232" s="5"/>
      <c r="AH232" s="5">
        <v>3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2">
      <c r="A233" s="5" t="str">
        <f>Column!$C233&amp;"_"&amp;Column!$G233</f>
        <v>ExportSettings_Title</v>
      </c>
      <c r="B233" s="5" t="s">
        <v>227</v>
      </c>
      <c r="C233" s="5" t="s">
        <v>226</v>
      </c>
      <c r="D233" s="5"/>
      <c r="E233" s="5"/>
      <c r="F233" s="5" t="s">
        <v>228</v>
      </c>
      <c r="G233" s="5" t="s">
        <v>238</v>
      </c>
      <c r="H233" s="5" t="s">
        <v>621</v>
      </c>
      <c r="I233" s="5">
        <v>3</v>
      </c>
      <c r="J233" s="5">
        <v>3</v>
      </c>
      <c r="K233" s="5"/>
      <c r="L233" s="5"/>
      <c r="M233" s="5"/>
      <c r="N233" s="5"/>
      <c r="O233" s="5"/>
      <c r="P233" s="5"/>
      <c r="Q233" s="5">
        <v>3</v>
      </c>
      <c r="R233" s="5">
        <v>1</v>
      </c>
      <c r="S233" s="5"/>
      <c r="T233" s="5">
        <v>3</v>
      </c>
      <c r="U233" s="5"/>
      <c r="V233" s="5">
        <v>3</v>
      </c>
      <c r="W233" s="5"/>
      <c r="X233" s="5"/>
      <c r="Y233" s="5" t="s">
        <v>43</v>
      </c>
      <c r="Z233" s="5" t="s">
        <v>249</v>
      </c>
      <c r="AA233" s="5" t="s">
        <v>250</v>
      </c>
      <c r="AB233" s="5">
        <v>1024</v>
      </c>
      <c r="AC233" s="5"/>
      <c r="AD233" s="5">
        <v>3</v>
      </c>
      <c r="AE233" s="5"/>
      <c r="AF233" s="5">
        <v>3</v>
      </c>
      <c r="AG233" s="5"/>
      <c r="AH233" s="5">
        <v>4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 t="s">
        <v>808</v>
      </c>
      <c r="BJ233" s="5"/>
      <c r="BK233" s="5" t="s">
        <v>361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>
        <v>1</v>
      </c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2">
      <c r="A234" s="5" t="str">
        <f>Column!$C234&amp;"_"&amp;Column!$G234</f>
        <v>ExportSettings_ExportSettingId</v>
      </c>
      <c r="B234" s="5" t="s">
        <v>227</v>
      </c>
      <c r="C234" s="5" t="s">
        <v>226</v>
      </c>
      <c r="D234" s="5"/>
      <c r="E234" s="5"/>
      <c r="F234" s="5" t="s">
        <v>228</v>
      </c>
      <c r="G234" s="5" t="s">
        <v>241</v>
      </c>
      <c r="H234" s="5" t="s">
        <v>753</v>
      </c>
      <c r="I234" s="5">
        <v>4</v>
      </c>
      <c r="J234" s="5">
        <v>4</v>
      </c>
      <c r="K234" s="5"/>
      <c r="L234" s="5"/>
      <c r="M234" s="5"/>
      <c r="N234" s="5"/>
      <c r="O234" s="5"/>
      <c r="P234" s="5"/>
      <c r="Q234" s="5">
        <v>4</v>
      </c>
      <c r="R234" s="5">
        <v>1</v>
      </c>
      <c r="S234" s="5"/>
      <c r="T234" s="5">
        <v>4</v>
      </c>
      <c r="U234" s="5"/>
      <c r="V234" s="5">
        <v>4</v>
      </c>
      <c r="W234" s="5"/>
      <c r="X234" s="5"/>
      <c r="Y234" s="5" t="s">
        <v>239</v>
      </c>
      <c r="Z234" s="5"/>
      <c r="AA234" s="5"/>
      <c r="AB234" s="5"/>
      <c r="AC234" s="5"/>
      <c r="AD234" s="5">
        <v>4</v>
      </c>
      <c r="AE234" s="5"/>
      <c r="AF234" s="5">
        <v>4</v>
      </c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>
        <v>1</v>
      </c>
      <c r="AR234" s="5"/>
      <c r="AS234" s="5">
        <v>1</v>
      </c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 t="s">
        <v>113</v>
      </c>
      <c r="CC234" s="5">
        <v>1</v>
      </c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2">
      <c r="A235" s="5" t="str">
        <f>Column!$C235&amp;"_"&amp;Column!$G235</f>
        <v>ExportSettings_AddHeader</v>
      </c>
      <c r="B235" s="5" t="s">
        <v>227</v>
      </c>
      <c r="C235" s="5" t="s">
        <v>226</v>
      </c>
      <c r="D235" s="5"/>
      <c r="E235" s="5"/>
      <c r="F235" s="5" t="s">
        <v>228</v>
      </c>
      <c r="G235" s="5" t="s">
        <v>242</v>
      </c>
      <c r="H235" s="5" t="s">
        <v>754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>
        <v>101</v>
      </c>
      <c r="R235" s="5">
        <v>1</v>
      </c>
      <c r="S235" s="5"/>
      <c r="T235" s="5">
        <v>101</v>
      </c>
      <c r="U235" s="5"/>
      <c r="V235" s="5">
        <v>101</v>
      </c>
      <c r="W235" s="5"/>
      <c r="X235" s="5"/>
      <c r="Y235" s="5" t="s">
        <v>244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1</v>
      </c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2">
      <c r="A236" s="5" t="str">
        <f>Column!$C236&amp;"_"&amp;Column!$G236</f>
        <v>ExportSettings_ExportColumns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243</v>
      </c>
      <c r="H236" s="5" t="s">
        <v>622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240</v>
      </c>
      <c r="Z236" s="5" t="s">
        <v>245</v>
      </c>
      <c r="AA236" s="5" t="s">
        <v>223</v>
      </c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>
        <v>1</v>
      </c>
      <c r="BG236" s="5"/>
      <c r="BH236" s="5"/>
      <c r="BI236" s="5"/>
      <c r="BJ236" s="5"/>
      <c r="BK236" s="5" t="s">
        <v>571</v>
      </c>
      <c r="BL236" s="5" t="s">
        <v>782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2">
      <c r="A237" s="5" t="str">
        <f>Column!$C237&amp;"_"&amp;Column!$G237</f>
        <v>Links_DestinationId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349</v>
      </c>
      <c r="H237" s="5" t="s">
        <v>755</v>
      </c>
      <c r="I237" s="5">
        <v>1</v>
      </c>
      <c r="J237" s="5">
        <v>1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</v>
      </c>
      <c r="U237" s="5"/>
      <c r="V237" s="5">
        <v>1</v>
      </c>
      <c r="W237" s="5"/>
      <c r="X237" s="5"/>
      <c r="Y237" s="5" t="s">
        <v>344</v>
      </c>
      <c r="Z237" s="5"/>
      <c r="AA237" s="5"/>
      <c r="AB237" s="5"/>
      <c r="AC237" s="5"/>
      <c r="AD237" s="5">
        <v>1</v>
      </c>
      <c r="AE237" s="5"/>
      <c r="AF237" s="5"/>
      <c r="AG237" s="5"/>
      <c r="AH237" s="5">
        <v>2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2">
      <c r="A238" s="5" t="str">
        <f>Column!$C238&amp;"_"&amp;Column!$G238</f>
        <v>Links_SourceId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350</v>
      </c>
      <c r="H238" s="5" t="s">
        <v>756</v>
      </c>
      <c r="I238" s="5">
        <v>2</v>
      </c>
      <c r="J238" s="5">
        <v>2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2</v>
      </c>
      <c r="U238" s="5"/>
      <c r="V238" s="5">
        <v>2</v>
      </c>
      <c r="W238" s="5"/>
      <c r="X238" s="5"/>
      <c r="Y238" s="5" t="s">
        <v>344</v>
      </c>
      <c r="Z238" s="5"/>
      <c r="AA238" s="5"/>
      <c r="AB238" s="5"/>
      <c r="AC238" s="5"/>
      <c r="AD238" s="5">
        <v>2</v>
      </c>
      <c r="AE238" s="5"/>
      <c r="AF238" s="5"/>
      <c r="AG238" s="5"/>
      <c r="AH238" s="5">
        <v>1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2">
      <c r="A239" s="5" t="str">
        <f>Column!$C239&amp;"_"&amp;Column!$G239</f>
        <v>Links_ReferenceType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288</v>
      </c>
      <c r="H239" s="5" t="s">
        <v>725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500</v>
      </c>
      <c r="AU239" s="5" t="s">
        <v>345</v>
      </c>
      <c r="AV239" s="5" t="s">
        <v>497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2">
      <c r="A240" s="5" t="str">
        <f>Column!$C240&amp;"_"&amp;Column!$G240</f>
        <v>Links_SiteId</v>
      </c>
      <c r="B240" s="5" t="s">
        <v>343</v>
      </c>
      <c r="C240" s="5" t="s">
        <v>342</v>
      </c>
      <c r="D240" s="5"/>
      <c r="E240" s="5"/>
      <c r="F240" s="5" t="s">
        <v>341</v>
      </c>
      <c r="G240" s="5" t="s">
        <v>384</v>
      </c>
      <c r="H240" s="5" t="s">
        <v>619</v>
      </c>
      <c r="I240" s="5">
        <v>102</v>
      </c>
      <c r="J240" s="5">
        <v>102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102</v>
      </c>
      <c r="U240" s="5"/>
      <c r="V240" s="5">
        <v>102</v>
      </c>
      <c r="W240" s="5"/>
      <c r="X240" s="5"/>
      <c r="Y240" s="5" t="s">
        <v>30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 t="s">
        <v>500</v>
      </c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>
        <v>1</v>
      </c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2">
      <c r="A241" s="5" t="str">
        <f>Column!$C241&amp;"_"&amp;Column!$G241</f>
        <v>Links_Title</v>
      </c>
      <c r="B241" s="5" t="s">
        <v>343</v>
      </c>
      <c r="C241" s="5" t="s">
        <v>342</v>
      </c>
      <c r="D241" s="5"/>
      <c r="E241" s="5"/>
      <c r="F241" s="5" t="s">
        <v>341</v>
      </c>
      <c r="G241" s="5" t="s">
        <v>397</v>
      </c>
      <c r="H241" s="5" t="s">
        <v>621</v>
      </c>
      <c r="I241" s="5">
        <v>103</v>
      </c>
      <c r="J241" s="5">
        <v>103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103</v>
      </c>
      <c r="U241" s="5"/>
      <c r="V241" s="5">
        <v>103</v>
      </c>
      <c r="W241" s="5"/>
      <c r="X241" s="5"/>
      <c r="Y241" s="5" t="s">
        <v>3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 t="s">
        <v>500</v>
      </c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2">
      <c r="A242" s="5" t="str">
        <f>Column!$C242&amp;"_"&amp;Column!$G242</f>
        <v>Links_Subset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383</v>
      </c>
      <c r="H242" s="5" t="s">
        <v>741</v>
      </c>
      <c r="I242" s="5">
        <v>104</v>
      </c>
      <c r="J242" s="5">
        <v>104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104</v>
      </c>
      <c r="U242" s="5"/>
      <c r="V242" s="5">
        <v>104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500</v>
      </c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2">
      <c r="A243" s="5" t="str">
        <f>Column!$C243&amp;"_"&amp;Column!$G243</f>
        <v>Links_SiteTitle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346</v>
      </c>
      <c r="H243" s="5" t="s">
        <v>217</v>
      </c>
      <c r="I243" s="5">
        <v>105</v>
      </c>
      <c r="J243" s="5">
        <v>105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105</v>
      </c>
      <c r="U243" s="5"/>
      <c r="V243" s="5">
        <v>105</v>
      </c>
      <c r="W243" s="5"/>
      <c r="X243" s="5"/>
      <c r="Y243" s="5" t="s">
        <v>3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 t="s">
        <v>132</v>
      </c>
      <c r="AU243" s="5" t="s">
        <v>345</v>
      </c>
      <c r="AV243" s="5" t="s">
        <v>493</v>
      </c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/>
      <c r="BN243" s="5" t="s">
        <v>499</v>
      </c>
      <c r="BO243" s="5" t="s">
        <v>499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2">
      <c r="A244" s="5" t="str">
        <f>Column!$C244&amp;"_"&amp;Column!$G244</f>
        <v>Binaries_BinaryId</v>
      </c>
      <c r="B244" s="5" t="s">
        <v>409</v>
      </c>
      <c r="C244" s="5" t="s">
        <v>410</v>
      </c>
      <c r="D244" s="5"/>
      <c r="E244" s="5"/>
      <c r="F244" s="5" t="s">
        <v>411</v>
      </c>
      <c r="G244" s="5" t="s">
        <v>412</v>
      </c>
      <c r="H244" s="5" t="s">
        <v>757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 t="s">
        <v>0</v>
      </c>
      <c r="Z244" s="5"/>
      <c r="AA244" s="5"/>
      <c r="AB244" s="5"/>
      <c r="AC244" s="5"/>
      <c r="AD244" s="5">
        <v>1</v>
      </c>
      <c r="AE244" s="5"/>
      <c r="AF244" s="5">
        <v>2</v>
      </c>
      <c r="AG244" s="5"/>
      <c r="AH244" s="5">
        <v>2</v>
      </c>
      <c r="AI244" s="5"/>
      <c r="AJ244" s="5">
        <v>2</v>
      </c>
      <c r="AK244" s="5"/>
      <c r="AL244" s="5"/>
      <c r="AM244" s="5"/>
      <c r="AN244" s="5"/>
      <c r="AO244" s="5"/>
      <c r="AP244" s="5"/>
      <c r="AQ244" s="5">
        <v>1</v>
      </c>
      <c r="AR244" s="5"/>
      <c r="AS244" s="5">
        <v>1</v>
      </c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 t="s">
        <v>113</v>
      </c>
      <c r="CC244" s="5">
        <v>1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2">
      <c r="A245" s="5" t="str">
        <f>Column!$C245&amp;"_"&amp;Column!$G245</f>
        <v>Binaries_TenantId</v>
      </c>
      <c r="B245" s="5" t="s">
        <v>409</v>
      </c>
      <c r="C245" s="5" t="s">
        <v>410</v>
      </c>
      <c r="D245" s="5"/>
      <c r="E245" s="5"/>
      <c r="F245" s="5" t="s">
        <v>411</v>
      </c>
      <c r="G245" s="5" t="s">
        <v>267</v>
      </c>
      <c r="H245" s="5" t="s">
        <v>631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 t="s">
        <v>1</v>
      </c>
      <c r="Z245" s="5"/>
      <c r="AA245" s="5"/>
      <c r="AB245" s="5"/>
      <c r="AC245" s="5"/>
      <c r="AD245" s="5"/>
      <c r="AE245" s="5"/>
      <c r="AF245" s="5">
        <v>1</v>
      </c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2">
      <c r="A246" s="5" t="str">
        <f>Column!$C246&amp;"_"&amp;Column!$G246</f>
        <v>Binaries_ReferenceId</v>
      </c>
      <c r="B246" s="5" t="s">
        <v>409</v>
      </c>
      <c r="C246" s="5" t="s">
        <v>410</v>
      </c>
      <c r="D246" s="5"/>
      <c r="E246" s="5"/>
      <c r="F246" s="5" t="s">
        <v>411</v>
      </c>
      <c r="G246" s="5" t="s">
        <v>419</v>
      </c>
      <c r="H246" s="5" t="s">
        <v>723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2">
      <c r="A247" s="5" t="str">
        <f>Column!$C247&amp;"_"&amp;Column!$G247</f>
        <v>Binaries_Guid</v>
      </c>
      <c r="B247" s="5" t="s">
        <v>409</v>
      </c>
      <c r="C247" s="5" t="s">
        <v>410</v>
      </c>
      <c r="D247" s="5"/>
      <c r="E247" s="5"/>
      <c r="F247" s="5" t="s">
        <v>411</v>
      </c>
      <c r="G247" s="5" t="s">
        <v>590</v>
      </c>
      <c r="H247" s="5" t="s">
        <v>758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 t="s">
        <v>3</v>
      </c>
      <c r="Z247" s="5"/>
      <c r="AA247" s="5"/>
      <c r="AB247" s="5">
        <v>32</v>
      </c>
      <c r="AC247" s="5"/>
      <c r="AD247" s="5"/>
      <c r="AE247" s="5"/>
      <c r="AF247" s="5"/>
      <c r="AG247" s="5"/>
      <c r="AH247" s="5"/>
      <c r="AI247" s="5"/>
      <c r="AJ247" s="5">
        <v>1</v>
      </c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2">
      <c r="A248" s="5" t="str">
        <f>Column!$C248&amp;"_"&amp;Column!$G248</f>
        <v>Binaries_BinaryType</v>
      </c>
      <c r="B248" s="5" t="s">
        <v>409</v>
      </c>
      <c r="C248" s="5" t="s">
        <v>410</v>
      </c>
      <c r="D248" s="5"/>
      <c r="E248" s="5"/>
      <c r="F248" s="5" t="s">
        <v>411</v>
      </c>
      <c r="G248" s="5" t="s">
        <v>423</v>
      </c>
      <c r="H248" s="5" t="s">
        <v>759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2">
      <c r="A249" s="5" t="str">
        <f>Column!$C249&amp;"_"&amp;Column!$G249</f>
        <v>Binaries_Title</v>
      </c>
      <c r="B249" s="5" t="s">
        <v>409</v>
      </c>
      <c r="C249" s="5" t="s">
        <v>410</v>
      </c>
      <c r="D249" s="5"/>
      <c r="E249" s="5"/>
      <c r="F249" s="5" t="s">
        <v>411</v>
      </c>
      <c r="G249" s="5" t="s">
        <v>413</v>
      </c>
      <c r="H249" s="5" t="s">
        <v>621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</v>
      </c>
      <c r="Z249" s="5" t="s">
        <v>64</v>
      </c>
      <c r="AA249" s="5" t="s">
        <v>204</v>
      </c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 t="s">
        <v>808</v>
      </c>
      <c r="BJ249" s="5"/>
      <c r="BK249" s="5" t="s">
        <v>361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2">
      <c r="A250" s="5" t="str">
        <f>Column!$C250&amp;"_"&amp;Column!$G250</f>
        <v>Binaries_Body</v>
      </c>
      <c r="B250" s="5" t="s">
        <v>409</v>
      </c>
      <c r="C250" s="5" t="s">
        <v>410</v>
      </c>
      <c r="D250" s="5"/>
      <c r="E250" s="5"/>
      <c r="F250" s="5" t="s">
        <v>411</v>
      </c>
      <c r="G250" s="5" t="s">
        <v>414</v>
      </c>
      <c r="H250" s="5" t="s">
        <v>622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 t="s">
        <v>557</v>
      </c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2">
      <c r="A251" s="5" t="str">
        <f>Column!$C251&amp;"_"&amp;Column!$G251</f>
        <v>Binaries_Bin</v>
      </c>
      <c r="B251" s="5" t="s">
        <v>409</v>
      </c>
      <c r="C251" s="5" t="s">
        <v>410</v>
      </c>
      <c r="D251" s="5"/>
      <c r="E251" s="5"/>
      <c r="F251" s="5" t="s">
        <v>411</v>
      </c>
      <c r="G251" s="5" t="s">
        <v>415</v>
      </c>
      <c r="H251" s="5" t="s">
        <v>411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260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 t="s">
        <v>815</v>
      </c>
      <c r="BJ251" s="5"/>
      <c r="BK251" s="5" t="s">
        <v>575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2">
      <c r="A252" s="5" t="str">
        <f>Column!$C252&amp;"_"&amp;Column!$G252</f>
        <v>Binaries_Thumbnail</v>
      </c>
      <c r="B252" s="5" t="s">
        <v>409</v>
      </c>
      <c r="C252" s="5" t="s">
        <v>410</v>
      </c>
      <c r="D252" s="5"/>
      <c r="E252" s="5"/>
      <c r="F252" s="5" t="s">
        <v>411</v>
      </c>
      <c r="G252" s="5" t="s">
        <v>421</v>
      </c>
      <c r="H252" s="5" t="s">
        <v>760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260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 t="s">
        <v>575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2">
      <c r="A253" s="5" t="str">
        <f>Column!$C253&amp;"_"&amp;Column!$G253</f>
        <v>Binaries_Icon</v>
      </c>
      <c r="B253" s="5" t="s">
        <v>409</v>
      </c>
      <c r="C253" s="5" t="s">
        <v>410</v>
      </c>
      <c r="D253" s="5"/>
      <c r="E253" s="5"/>
      <c r="F253" s="5" t="s">
        <v>411</v>
      </c>
      <c r="G253" s="5" t="s">
        <v>422</v>
      </c>
      <c r="H253" s="5" t="s">
        <v>761</v>
      </c>
      <c r="I253" s="5">
        <v>106</v>
      </c>
      <c r="J253" s="5">
        <v>106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106</v>
      </c>
      <c r="U253" s="5"/>
      <c r="V253" s="5">
        <v>106</v>
      </c>
      <c r="W253" s="5"/>
      <c r="X253" s="5"/>
      <c r="Y253" s="5" t="s">
        <v>260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 t="s">
        <v>575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2">
      <c r="A254" s="5" t="str">
        <f>Column!$C254&amp;"_"&amp;Column!$G254</f>
        <v>Binaries_FileName</v>
      </c>
      <c r="B254" s="5" t="s">
        <v>409</v>
      </c>
      <c r="C254" s="5" t="s">
        <v>410</v>
      </c>
      <c r="D254" s="5"/>
      <c r="E254" s="5"/>
      <c r="F254" s="5" t="s">
        <v>411</v>
      </c>
      <c r="G254" s="5" t="s">
        <v>416</v>
      </c>
      <c r="H254" s="5" t="s">
        <v>762</v>
      </c>
      <c r="I254" s="5">
        <v>107</v>
      </c>
      <c r="J254" s="5">
        <v>107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107</v>
      </c>
      <c r="U254" s="5"/>
      <c r="V254" s="5">
        <v>107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2">
      <c r="A255" s="5" t="str">
        <f>Column!$C255&amp;"_"&amp;Column!$G255</f>
        <v>Binaries_Extension</v>
      </c>
      <c r="B255" s="5" t="s">
        <v>409</v>
      </c>
      <c r="C255" s="5" t="s">
        <v>410</v>
      </c>
      <c r="D255" s="5"/>
      <c r="E255" s="5"/>
      <c r="F255" s="5" t="s">
        <v>411</v>
      </c>
      <c r="G255" s="5" t="s">
        <v>417</v>
      </c>
      <c r="H255" s="5" t="s">
        <v>763</v>
      </c>
      <c r="I255" s="5">
        <v>108</v>
      </c>
      <c r="J255" s="5">
        <v>108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108</v>
      </c>
      <c r="U255" s="5"/>
      <c r="V255" s="5">
        <v>108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</row>
    <row r="256" spans="1:109" x14ac:dyDescent="0.2">
      <c r="A256" s="5" t="str">
        <f>Column!$C256&amp;"_"&amp;Column!$G256</f>
        <v>Binaries_Size</v>
      </c>
      <c r="B256" s="5" t="s">
        <v>409</v>
      </c>
      <c r="C256" s="5" t="s">
        <v>410</v>
      </c>
      <c r="D256" s="5"/>
      <c r="E256" s="5"/>
      <c r="F256" s="5" t="s">
        <v>411</v>
      </c>
      <c r="G256" s="5" t="s">
        <v>259</v>
      </c>
      <c r="H256" s="5" t="s">
        <v>764</v>
      </c>
      <c r="I256" s="5">
        <v>109</v>
      </c>
      <c r="J256" s="5">
        <v>109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109</v>
      </c>
      <c r="U256" s="5"/>
      <c r="V256" s="5">
        <v>109</v>
      </c>
      <c r="W256" s="5"/>
      <c r="X256" s="5"/>
      <c r="Y256" s="5" t="s">
        <v>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</row>
    <row r="257" spans="1:109" x14ac:dyDescent="0.2">
      <c r="A257" s="5" t="str">
        <f>Column!$C257&amp;"_"&amp;Column!$G257</f>
        <v>Binaries_ContentType</v>
      </c>
      <c r="B257" s="5" t="s">
        <v>409</v>
      </c>
      <c r="C257" s="5" t="s">
        <v>410</v>
      </c>
      <c r="D257" s="5"/>
      <c r="E257" s="5"/>
      <c r="F257" s="5" t="s">
        <v>411</v>
      </c>
      <c r="G257" s="5" t="s">
        <v>591</v>
      </c>
      <c r="H257" s="5" t="s">
        <v>765</v>
      </c>
      <c r="I257" s="5">
        <v>110</v>
      </c>
      <c r="J257" s="5">
        <v>110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110</v>
      </c>
      <c r="U257" s="5"/>
      <c r="V257" s="5">
        <v>110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</row>
    <row r="258" spans="1:109" x14ac:dyDescent="0.2">
      <c r="A258" s="5" t="str">
        <f>Column!$C258&amp;"_"&amp;Column!$G258</f>
        <v>Binaries_BinarySettings</v>
      </c>
      <c r="B258" s="5" t="s">
        <v>409</v>
      </c>
      <c r="C258" s="5" t="s">
        <v>410</v>
      </c>
      <c r="D258" s="5"/>
      <c r="E258" s="5"/>
      <c r="F258" s="5" t="s">
        <v>411</v>
      </c>
      <c r="G258" s="5" t="s">
        <v>418</v>
      </c>
      <c r="H258" s="5" t="s">
        <v>766</v>
      </c>
      <c r="I258" s="5">
        <v>111</v>
      </c>
      <c r="J258" s="5">
        <v>111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111</v>
      </c>
      <c r="U258" s="5"/>
      <c r="V258" s="5">
        <v>111</v>
      </c>
      <c r="W258" s="5"/>
      <c r="X258" s="5"/>
      <c r="Y258" s="5" t="s">
        <v>3</v>
      </c>
      <c r="Z258" s="5" t="s">
        <v>420</v>
      </c>
      <c r="AA258" s="5" t="s">
        <v>222</v>
      </c>
      <c r="AB258" s="5">
        <v>-1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570</v>
      </c>
      <c r="BL258" s="5" t="s">
        <v>783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>
        <v>1</v>
      </c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</row>
    <row r="259" spans="1:109" x14ac:dyDescent="0.2">
      <c r="A259" s="5" t="str">
        <f>Column!$C259&amp;"_"&amp;Column!$G259</f>
        <v>Issues_IssueId</v>
      </c>
      <c r="B259" s="5" t="s">
        <v>37</v>
      </c>
      <c r="C259" s="5" t="s">
        <v>133</v>
      </c>
      <c r="D259" s="5"/>
      <c r="E259" s="5"/>
      <c r="F259" s="5" t="s">
        <v>543</v>
      </c>
      <c r="G259" s="5" t="s">
        <v>108</v>
      </c>
      <c r="H259" s="5" t="s">
        <v>767</v>
      </c>
      <c r="I259" s="5">
        <v>4</v>
      </c>
      <c r="J259" s="5">
        <v>2</v>
      </c>
      <c r="K259" s="5"/>
      <c r="L259" s="5">
        <v>4</v>
      </c>
      <c r="M259" s="5">
        <v>4</v>
      </c>
      <c r="N259" s="5">
        <v>1</v>
      </c>
      <c r="O259" s="5"/>
      <c r="P259" s="5"/>
      <c r="Q259" s="5">
        <v>4</v>
      </c>
      <c r="R259" s="5">
        <v>1</v>
      </c>
      <c r="S259" s="5">
        <v>4</v>
      </c>
      <c r="T259" s="5">
        <v>4</v>
      </c>
      <c r="U259" s="5">
        <v>1</v>
      </c>
      <c r="V259" s="5">
        <v>4</v>
      </c>
      <c r="W259" s="5"/>
      <c r="X259" s="5"/>
      <c r="Y259" s="5" t="s">
        <v>0</v>
      </c>
      <c r="Z259" s="5"/>
      <c r="AA259" s="5"/>
      <c r="AB259" s="5"/>
      <c r="AC259" s="5"/>
      <c r="AD259" s="5">
        <v>10</v>
      </c>
      <c r="AE259" s="5"/>
      <c r="AF259" s="5">
        <v>2</v>
      </c>
      <c r="AG259" s="5"/>
      <c r="AH259" s="5">
        <v>1</v>
      </c>
      <c r="AI259" s="5"/>
      <c r="AJ259" s="5">
        <v>1</v>
      </c>
      <c r="AK259" s="5"/>
      <c r="AL259" s="5"/>
      <c r="AM259" s="5"/>
      <c r="AN259" s="5"/>
      <c r="AO259" s="5"/>
      <c r="AP259" s="5"/>
      <c r="AQ259" s="5"/>
      <c r="AR259" s="5">
        <v>1</v>
      </c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>
        <v>1</v>
      </c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>
        <v>20</v>
      </c>
      <c r="BQ259" s="5">
        <v>1</v>
      </c>
      <c r="BR259" s="5"/>
      <c r="BS259" s="5"/>
      <c r="BT259" s="5" t="s">
        <v>512</v>
      </c>
      <c r="BU259" s="5"/>
      <c r="BV259" s="5"/>
      <c r="BW259" s="5"/>
      <c r="BX259" s="5"/>
      <c r="BY259" s="5"/>
      <c r="BZ259" s="5"/>
      <c r="CA259" s="5"/>
      <c r="CB259" s="5" t="s">
        <v>113</v>
      </c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>
        <v>1</v>
      </c>
      <c r="DD259" s="5"/>
      <c r="DE259" s="5"/>
    </row>
    <row r="260" spans="1:109" x14ac:dyDescent="0.2">
      <c r="A260" s="5" t="str">
        <f>Column!$C260&amp;"_"&amp;Column!$G260</f>
        <v>Issues_StartTime</v>
      </c>
      <c r="B260" s="5" t="s">
        <v>37</v>
      </c>
      <c r="C260" s="5" t="s">
        <v>133</v>
      </c>
      <c r="D260" s="5"/>
      <c r="E260" s="5"/>
      <c r="F260" s="5" t="s">
        <v>543</v>
      </c>
      <c r="G260" s="5" t="s">
        <v>320</v>
      </c>
      <c r="H260" s="5" t="s">
        <v>768</v>
      </c>
      <c r="I260" s="5">
        <v>101</v>
      </c>
      <c r="J260" s="5">
        <v>101</v>
      </c>
      <c r="K260" s="5"/>
      <c r="L260" s="5">
        <v>101</v>
      </c>
      <c r="M260" s="5">
        <v>101</v>
      </c>
      <c r="N260" s="5">
        <v>1</v>
      </c>
      <c r="O260" s="5">
        <v>101</v>
      </c>
      <c r="P260" s="5"/>
      <c r="Q260" s="5">
        <v>101</v>
      </c>
      <c r="R260" s="5">
        <v>1</v>
      </c>
      <c r="S260" s="5">
        <v>101</v>
      </c>
      <c r="T260" s="5">
        <v>101</v>
      </c>
      <c r="U260" s="5">
        <v>1</v>
      </c>
      <c r="V260" s="5">
        <v>101</v>
      </c>
      <c r="W260" s="5">
        <v>1</v>
      </c>
      <c r="X260" s="5"/>
      <c r="Y260" s="5" t="s">
        <v>8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811</v>
      </c>
      <c r="BJ260" s="5" t="s">
        <v>609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 t="s">
        <v>332</v>
      </c>
      <c r="CE260" s="5" t="s">
        <v>331</v>
      </c>
      <c r="CF260" s="5" t="s">
        <v>331</v>
      </c>
      <c r="CG260" s="5"/>
      <c r="CH260" s="5"/>
      <c r="CI260" s="5"/>
      <c r="CJ260" s="5"/>
      <c r="CK260" s="5">
        <v>0</v>
      </c>
      <c r="CL260" s="5"/>
      <c r="CM260" s="5"/>
      <c r="CN260" s="5"/>
      <c r="CO260" s="5"/>
      <c r="CP260" s="5"/>
      <c r="CQ260" s="5"/>
      <c r="CR260" s="5"/>
      <c r="CS260" s="5"/>
      <c r="CT260" s="5">
        <v>-365</v>
      </c>
      <c r="CU260" s="5">
        <v>365</v>
      </c>
      <c r="CV260" s="5">
        <v>1</v>
      </c>
      <c r="CW260" s="5"/>
      <c r="CX260" s="5"/>
      <c r="CY260" s="5"/>
      <c r="CZ260" s="5"/>
      <c r="DA260" s="5"/>
      <c r="DB260" s="5">
        <v>50</v>
      </c>
      <c r="DC260" s="5"/>
      <c r="DD260" s="5"/>
      <c r="DE260" s="5"/>
    </row>
    <row r="261" spans="1:109" x14ac:dyDescent="0.2">
      <c r="A261" s="5" t="str">
        <f>Column!$C261&amp;"_"&amp;Column!$G261</f>
        <v>Issues_CompletionTime</v>
      </c>
      <c r="B261" s="5" t="s">
        <v>37</v>
      </c>
      <c r="C261" s="5" t="s">
        <v>133</v>
      </c>
      <c r="D261" s="5"/>
      <c r="E261" s="5"/>
      <c r="F261" s="5" t="s">
        <v>543</v>
      </c>
      <c r="G261" s="5" t="s">
        <v>339</v>
      </c>
      <c r="H261" s="5" t="s">
        <v>769</v>
      </c>
      <c r="I261" s="5">
        <v>102</v>
      </c>
      <c r="J261" s="5">
        <v>102</v>
      </c>
      <c r="K261" s="5"/>
      <c r="L261" s="5">
        <v>102</v>
      </c>
      <c r="M261" s="5">
        <v>102</v>
      </c>
      <c r="N261" s="5">
        <v>1</v>
      </c>
      <c r="O261" s="5">
        <v>102</v>
      </c>
      <c r="P261" s="5"/>
      <c r="Q261" s="5">
        <v>102</v>
      </c>
      <c r="R261" s="5">
        <v>1</v>
      </c>
      <c r="S261" s="5">
        <v>102</v>
      </c>
      <c r="T261" s="5">
        <v>102</v>
      </c>
      <c r="U261" s="5">
        <v>1</v>
      </c>
      <c r="V261" s="5">
        <v>102</v>
      </c>
      <c r="W261" s="5">
        <v>1</v>
      </c>
      <c r="X261" s="5"/>
      <c r="Y261" s="5" t="s">
        <v>8</v>
      </c>
      <c r="Z261" s="5" t="s">
        <v>339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812</v>
      </c>
      <c r="BJ261" s="5" t="s">
        <v>601</v>
      </c>
      <c r="BK261" s="5" t="s">
        <v>602</v>
      </c>
      <c r="BL261" s="5"/>
      <c r="BM261" s="5" t="s">
        <v>566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162</v>
      </c>
      <c r="CC261" s="7"/>
      <c r="CD261" s="5" t="s">
        <v>332</v>
      </c>
      <c r="CE261" s="5" t="s">
        <v>331</v>
      </c>
      <c r="CF261" s="5" t="s">
        <v>331</v>
      </c>
      <c r="CG261" s="5"/>
      <c r="CH261" s="5"/>
      <c r="CI261" s="5"/>
      <c r="CJ261" s="5"/>
      <c r="CK261" s="5">
        <v>7</v>
      </c>
      <c r="CL261" s="5"/>
      <c r="CM261" s="5"/>
      <c r="CN261" s="5">
        <v>1</v>
      </c>
      <c r="CO261" s="5"/>
      <c r="CP261" s="5">
        <v>1</v>
      </c>
      <c r="CQ261" s="5"/>
      <c r="CR261" s="5"/>
      <c r="CS261" s="5"/>
      <c r="CT261" s="5">
        <v>-365</v>
      </c>
      <c r="CU261" s="5">
        <v>365</v>
      </c>
      <c r="CV261" s="5">
        <v>1</v>
      </c>
      <c r="CW261" s="5"/>
      <c r="CX261" s="5"/>
      <c r="CY261" s="5"/>
      <c r="CZ261" s="5"/>
      <c r="DA261" s="5"/>
      <c r="DB261" s="5">
        <v>50</v>
      </c>
      <c r="DC261" s="5">
        <v>1</v>
      </c>
      <c r="DD261" s="5"/>
      <c r="DE261" s="5"/>
    </row>
    <row r="262" spans="1:109" x14ac:dyDescent="0.2">
      <c r="A262" s="5" t="str">
        <f>Column!$C262&amp;"_"&amp;Column!$G262</f>
        <v>Issues_WorkValue</v>
      </c>
      <c r="B262" s="5" t="s">
        <v>37</v>
      </c>
      <c r="C262" s="5" t="s">
        <v>133</v>
      </c>
      <c r="D262" s="5"/>
      <c r="E262" s="5"/>
      <c r="F262" s="5" t="s">
        <v>543</v>
      </c>
      <c r="G262" s="5" t="s">
        <v>355</v>
      </c>
      <c r="H262" s="5" t="s">
        <v>770</v>
      </c>
      <c r="I262" s="5">
        <v>103</v>
      </c>
      <c r="J262" s="5">
        <v>103</v>
      </c>
      <c r="K262" s="5"/>
      <c r="L262" s="5">
        <v>103</v>
      </c>
      <c r="M262" s="5">
        <v>103</v>
      </c>
      <c r="N262" s="5">
        <v>1</v>
      </c>
      <c r="O262" s="5">
        <v>103</v>
      </c>
      <c r="P262" s="5"/>
      <c r="Q262" s="5">
        <v>103</v>
      </c>
      <c r="R262" s="5">
        <v>1</v>
      </c>
      <c r="S262" s="5">
        <v>103</v>
      </c>
      <c r="T262" s="5">
        <v>103</v>
      </c>
      <c r="U262" s="5">
        <v>1</v>
      </c>
      <c r="V262" s="5">
        <v>103</v>
      </c>
      <c r="W262" s="5">
        <v>1</v>
      </c>
      <c r="X262" s="5"/>
      <c r="Y262" s="5" t="s">
        <v>323</v>
      </c>
      <c r="Z262" s="5" t="s">
        <v>355</v>
      </c>
      <c r="AA262" s="5" t="s">
        <v>204</v>
      </c>
      <c r="AB262" s="5"/>
      <c r="AC262" s="5" t="s">
        <v>556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>
        <v>0</v>
      </c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200</v>
      </c>
      <c r="BF262" s="5"/>
      <c r="BG262" s="5"/>
      <c r="BH262" s="5"/>
      <c r="BI262" s="5" t="s">
        <v>813</v>
      </c>
      <c r="BJ262" s="5" t="s">
        <v>598</v>
      </c>
      <c r="BK262" s="5"/>
      <c r="BL262" s="5"/>
      <c r="BM262" s="5" t="s">
        <v>567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7" t="s">
        <v>372</v>
      </c>
      <c r="CC262" s="7"/>
      <c r="CD262" s="7"/>
      <c r="CE262" s="7"/>
      <c r="CF262" s="7"/>
      <c r="CG262" s="7"/>
      <c r="CH262" s="7">
        <v>1</v>
      </c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>
        <v>1</v>
      </c>
      <c r="CT262" s="5">
        <v>0</v>
      </c>
      <c r="CU262" s="5">
        <v>100</v>
      </c>
      <c r="CV262" s="5">
        <v>0.1</v>
      </c>
      <c r="CW262" s="5"/>
      <c r="CX262" s="5" t="s">
        <v>328</v>
      </c>
      <c r="CY262" s="5">
        <v>0</v>
      </c>
      <c r="CZ262" s="5">
        <v>100</v>
      </c>
      <c r="DA262" s="5">
        <v>25</v>
      </c>
      <c r="DB262" s="5"/>
      <c r="DC262" s="5"/>
      <c r="DD262" s="5"/>
      <c r="DE262" s="5"/>
    </row>
    <row r="263" spans="1:109" x14ac:dyDescent="0.2">
      <c r="A263" s="5" t="str">
        <f>Column!$C263&amp;"_"&amp;Column!$G263</f>
        <v>Issues_ProgressRate</v>
      </c>
      <c r="B263" s="5" t="s">
        <v>37</v>
      </c>
      <c r="C263" s="5" t="s">
        <v>133</v>
      </c>
      <c r="D263" s="5"/>
      <c r="E263" s="5"/>
      <c r="F263" s="5" t="s">
        <v>543</v>
      </c>
      <c r="G263" s="5" t="s">
        <v>321</v>
      </c>
      <c r="H263" s="5" t="s">
        <v>771</v>
      </c>
      <c r="I263" s="5">
        <v>104</v>
      </c>
      <c r="J263" s="5">
        <v>104</v>
      </c>
      <c r="K263" s="5"/>
      <c r="L263" s="5">
        <v>104</v>
      </c>
      <c r="M263" s="5">
        <v>104</v>
      </c>
      <c r="N263" s="5">
        <v>1</v>
      </c>
      <c r="O263" s="5">
        <v>104</v>
      </c>
      <c r="P263" s="5"/>
      <c r="Q263" s="5">
        <v>104</v>
      </c>
      <c r="R263" s="5">
        <v>1</v>
      </c>
      <c r="S263" s="5">
        <v>104</v>
      </c>
      <c r="T263" s="5">
        <v>104</v>
      </c>
      <c r="U263" s="5">
        <v>1</v>
      </c>
      <c r="V263" s="5">
        <v>104</v>
      </c>
      <c r="W263" s="5">
        <v>1</v>
      </c>
      <c r="X263" s="5"/>
      <c r="Y263" s="5" t="s">
        <v>323</v>
      </c>
      <c r="Z263" s="5" t="s">
        <v>321</v>
      </c>
      <c r="AA263" s="5" t="s">
        <v>204</v>
      </c>
      <c r="AB263" s="5"/>
      <c r="AC263" s="5" t="s">
        <v>327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>
        <v>0</v>
      </c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200</v>
      </c>
      <c r="BF263" s="5"/>
      <c r="BG263" s="5"/>
      <c r="BH263" s="5"/>
      <c r="BI263" s="5" t="s">
        <v>817</v>
      </c>
      <c r="BJ263" s="5" t="s">
        <v>599</v>
      </c>
      <c r="BK263" s="5"/>
      <c r="BL263" s="5"/>
      <c r="BM263" s="5" t="s">
        <v>568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7" t="s">
        <v>372</v>
      </c>
      <c r="CC263" s="7"/>
      <c r="CD263" s="7"/>
      <c r="CE263" s="7"/>
      <c r="CF263" s="7"/>
      <c r="CG263" s="7"/>
      <c r="CH263" s="7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>
        <v>1</v>
      </c>
      <c r="CT263" s="5">
        <v>0</v>
      </c>
      <c r="CU263" s="5">
        <v>100</v>
      </c>
      <c r="CV263" s="5">
        <v>0.1</v>
      </c>
      <c r="CW263" s="5"/>
      <c r="CX263" s="5" t="s">
        <v>326</v>
      </c>
      <c r="CY263" s="5">
        <v>0</v>
      </c>
      <c r="CZ263" s="5">
        <v>100</v>
      </c>
      <c r="DA263" s="5">
        <v>25</v>
      </c>
      <c r="DB263" s="5"/>
      <c r="DC263" s="5"/>
      <c r="DD263" s="5"/>
      <c r="DE263" s="5"/>
    </row>
    <row r="264" spans="1:109" x14ac:dyDescent="0.2">
      <c r="A264" s="5" t="str">
        <f>Column!$C264&amp;"_"&amp;Column!$G264</f>
        <v>Issues_RemainingWorkValue</v>
      </c>
      <c r="B264" s="5" t="s">
        <v>37</v>
      </c>
      <c r="C264" s="5" t="s">
        <v>133</v>
      </c>
      <c r="D264" s="5"/>
      <c r="E264" s="5"/>
      <c r="F264" s="5" t="s">
        <v>543</v>
      </c>
      <c r="G264" s="5" t="s">
        <v>387</v>
      </c>
      <c r="H264" s="5" t="s">
        <v>772</v>
      </c>
      <c r="I264" s="5">
        <v>105</v>
      </c>
      <c r="J264" s="5">
        <v>105</v>
      </c>
      <c r="K264" s="5"/>
      <c r="L264" s="5">
        <v>105</v>
      </c>
      <c r="M264" s="5">
        <v>105</v>
      </c>
      <c r="N264" s="5">
        <v>1</v>
      </c>
      <c r="O264" s="5"/>
      <c r="P264" s="5"/>
      <c r="Q264" s="5">
        <v>105</v>
      </c>
      <c r="R264" s="5">
        <v>1</v>
      </c>
      <c r="S264" s="5"/>
      <c r="T264" s="5">
        <v>105</v>
      </c>
      <c r="U264" s="5">
        <v>1</v>
      </c>
      <c r="V264" s="5">
        <v>105</v>
      </c>
      <c r="W264" s="5">
        <v>1</v>
      </c>
      <c r="X264" s="5"/>
      <c r="Y264" s="5" t="s">
        <v>323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10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 t="s">
        <v>509</v>
      </c>
      <c r="BC264" s="5" t="s">
        <v>509</v>
      </c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564</v>
      </c>
      <c r="BO264" s="5"/>
      <c r="BP264" s="5"/>
      <c r="BQ264" s="5"/>
      <c r="BR264" s="5"/>
      <c r="BS264" s="5"/>
      <c r="BT264" s="5" t="s">
        <v>512</v>
      </c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>
        <v>1</v>
      </c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>
        <v>1</v>
      </c>
      <c r="CT264" s="5"/>
      <c r="CU264" s="5"/>
      <c r="CV264" s="5"/>
      <c r="CW264" s="10" t="s">
        <v>390</v>
      </c>
      <c r="CX264" s="5" t="s">
        <v>388</v>
      </c>
      <c r="CY264" s="5"/>
      <c r="CZ264" s="5"/>
      <c r="DA264" s="5"/>
      <c r="DB264" s="5"/>
      <c r="DC264" s="5"/>
      <c r="DD264" s="5"/>
      <c r="DE264" s="5"/>
    </row>
    <row r="265" spans="1:109" x14ac:dyDescent="0.2">
      <c r="A265" s="5" t="str">
        <f>Column!$C265&amp;"_"&amp;Column!$G265</f>
        <v>Issues_Status</v>
      </c>
      <c r="B265" s="5" t="s">
        <v>37</v>
      </c>
      <c r="C265" s="5" t="s">
        <v>133</v>
      </c>
      <c r="D265" s="5"/>
      <c r="E265" s="5"/>
      <c r="F265" s="5" t="s">
        <v>543</v>
      </c>
      <c r="G265" s="5" t="s">
        <v>44</v>
      </c>
      <c r="H265" s="5" t="s">
        <v>773</v>
      </c>
      <c r="I265" s="5">
        <v>106</v>
      </c>
      <c r="J265" s="5">
        <v>106</v>
      </c>
      <c r="K265" s="5"/>
      <c r="L265" s="5">
        <v>106</v>
      </c>
      <c r="M265" s="5">
        <v>106</v>
      </c>
      <c r="N265" s="5">
        <v>1</v>
      </c>
      <c r="O265" s="5">
        <v>106</v>
      </c>
      <c r="P265" s="5">
        <v>1</v>
      </c>
      <c r="Q265" s="5">
        <v>106</v>
      </c>
      <c r="R265" s="5">
        <v>1</v>
      </c>
      <c r="S265" s="5">
        <v>106</v>
      </c>
      <c r="T265" s="5">
        <v>106</v>
      </c>
      <c r="U265" s="5">
        <v>1</v>
      </c>
      <c r="V265" s="5">
        <v>106</v>
      </c>
      <c r="W265" s="5">
        <v>1</v>
      </c>
      <c r="X265" s="5"/>
      <c r="Y265" s="5" t="s">
        <v>1</v>
      </c>
      <c r="Z265" s="5" t="s">
        <v>203</v>
      </c>
      <c r="AA265" s="5" t="s">
        <v>204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814</v>
      </c>
      <c r="BJ265" s="5" t="s">
        <v>587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7" t="s">
        <v>257</v>
      </c>
      <c r="CC265" s="7"/>
      <c r="CD265" s="7"/>
      <c r="CE265" s="7"/>
      <c r="CF265" s="7"/>
      <c r="CG265" s="7">
        <v>1</v>
      </c>
      <c r="CH265" s="7"/>
      <c r="CI265" s="6" t="s">
        <v>376</v>
      </c>
      <c r="CJ265" s="6"/>
      <c r="CK265" s="6">
        <v>100</v>
      </c>
      <c r="CL265" s="6"/>
      <c r="CM265" s="6"/>
      <c r="CN265" s="5">
        <v>1</v>
      </c>
      <c r="CO265" s="5"/>
      <c r="CP265" s="5"/>
      <c r="CQ265" s="5"/>
      <c r="CR265" s="5"/>
      <c r="CS265" s="5"/>
      <c r="CT265" s="6"/>
      <c r="CU265" s="6"/>
      <c r="CV265" s="6"/>
      <c r="CW265" s="6"/>
      <c r="CX265" s="6"/>
      <c r="CY265" s="6"/>
      <c r="CZ265" s="6"/>
      <c r="DA265" s="6"/>
      <c r="DB265" s="6"/>
      <c r="DC265" s="5">
        <v>1</v>
      </c>
      <c r="DD265" s="5"/>
      <c r="DE265" s="5"/>
    </row>
    <row r="266" spans="1:109" x14ac:dyDescent="0.2">
      <c r="A266" s="5" t="str">
        <f>Column!$C266&amp;"_"&amp;Column!$G266</f>
        <v>Issues_Manager</v>
      </c>
      <c r="B266" s="5" t="s">
        <v>37</v>
      </c>
      <c r="C266" s="5" t="s">
        <v>133</v>
      </c>
      <c r="D266" s="5"/>
      <c r="E266" s="5"/>
      <c r="F266" s="5" t="s">
        <v>543</v>
      </c>
      <c r="G266" s="5" t="s">
        <v>367</v>
      </c>
      <c r="H266" s="5" t="s">
        <v>774</v>
      </c>
      <c r="I266" s="5">
        <v>107</v>
      </c>
      <c r="J266" s="5">
        <v>107</v>
      </c>
      <c r="K266" s="5"/>
      <c r="L266" s="5">
        <v>107</v>
      </c>
      <c r="M266" s="5">
        <v>107</v>
      </c>
      <c r="N266" s="5">
        <v>1</v>
      </c>
      <c r="O266" s="5">
        <v>107</v>
      </c>
      <c r="P266" s="5">
        <v>1</v>
      </c>
      <c r="Q266" s="5">
        <v>107</v>
      </c>
      <c r="R266" s="5">
        <v>1</v>
      </c>
      <c r="S266" s="5">
        <v>107</v>
      </c>
      <c r="T266" s="5">
        <v>107</v>
      </c>
      <c r="U266" s="5"/>
      <c r="V266" s="5">
        <v>107</v>
      </c>
      <c r="W266" s="5"/>
      <c r="X266" s="5"/>
      <c r="Y266" s="5" t="s">
        <v>140</v>
      </c>
      <c r="Z266" s="5" t="s">
        <v>364</v>
      </c>
      <c r="AA266" s="5" t="s">
        <v>369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810</v>
      </c>
      <c r="BJ266" s="5" t="s">
        <v>606</v>
      </c>
      <c r="BK266" s="5" t="s">
        <v>605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6" t="s">
        <v>351</v>
      </c>
      <c r="CJ266" s="6"/>
      <c r="CK266" s="6" t="s">
        <v>592</v>
      </c>
      <c r="CL266" s="6">
        <v>1</v>
      </c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2">
      <c r="A267" s="5" t="str">
        <f>Column!$C267&amp;"_"&amp;Column!$G267</f>
        <v>Issues_Owner</v>
      </c>
      <c r="B267" s="5" t="s">
        <v>37</v>
      </c>
      <c r="C267" s="5" t="s">
        <v>133</v>
      </c>
      <c r="D267" s="5"/>
      <c r="E267" s="5"/>
      <c r="F267" s="5" t="s">
        <v>543</v>
      </c>
      <c r="G267" s="5" t="s">
        <v>368</v>
      </c>
      <c r="H267" s="5" t="s">
        <v>775</v>
      </c>
      <c r="I267" s="5">
        <v>108</v>
      </c>
      <c r="J267" s="5">
        <v>108</v>
      </c>
      <c r="K267" s="5"/>
      <c r="L267" s="5">
        <v>108</v>
      </c>
      <c r="M267" s="5">
        <v>108</v>
      </c>
      <c r="N267" s="5">
        <v>1</v>
      </c>
      <c r="O267" s="5">
        <v>108</v>
      </c>
      <c r="P267" s="5">
        <v>1</v>
      </c>
      <c r="Q267" s="5">
        <v>108</v>
      </c>
      <c r="R267" s="5">
        <v>1</v>
      </c>
      <c r="S267" s="5">
        <v>108</v>
      </c>
      <c r="T267" s="5">
        <v>108</v>
      </c>
      <c r="U267" s="5">
        <v>1</v>
      </c>
      <c r="V267" s="5">
        <v>108</v>
      </c>
      <c r="W267" s="5">
        <v>1</v>
      </c>
      <c r="X267" s="5"/>
      <c r="Y267" s="5" t="s">
        <v>140</v>
      </c>
      <c r="Z267" s="5" t="s">
        <v>364</v>
      </c>
      <c r="AA267" s="5" t="s">
        <v>369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/>
      <c r="BG267" s="5"/>
      <c r="BH267" s="5"/>
      <c r="BI267" s="5" t="s">
        <v>810</v>
      </c>
      <c r="BJ267" s="5" t="s">
        <v>607</v>
      </c>
      <c r="BK267" s="5" t="s">
        <v>605</v>
      </c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>
        <v>1</v>
      </c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351</v>
      </c>
      <c r="CJ267" s="6"/>
      <c r="CK267" s="6" t="s">
        <v>592</v>
      </c>
      <c r="CL267" s="6">
        <v>1</v>
      </c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2">
      <c r="A268" s="5" t="str">
        <f>Column!$C268&amp;"_"&amp;Column!$G268</f>
        <v>Issues_SiteTitle</v>
      </c>
      <c r="B268" s="5" t="s">
        <v>37</v>
      </c>
      <c r="C268" s="5" t="s">
        <v>133</v>
      </c>
      <c r="D268" s="5"/>
      <c r="E268" s="5"/>
      <c r="F268" s="5" t="s">
        <v>543</v>
      </c>
      <c r="G268" s="5" t="s">
        <v>346</v>
      </c>
      <c r="H268" s="5" t="s">
        <v>217</v>
      </c>
      <c r="I268" s="5">
        <v>800</v>
      </c>
      <c r="J268" s="5">
        <v>800</v>
      </c>
      <c r="K268" s="5"/>
      <c r="L268" s="5">
        <v>800</v>
      </c>
      <c r="M268" s="5">
        <v>800</v>
      </c>
      <c r="N268" s="5"/>
      <c r="O268" s="5">
        <v>800</v>
      </c>
      <c r="P268" s="5">
        <v>1</v>
      </c>
      <c r="Q268" s="5"/>
      <c r="R268" s="5"/>
      <c r="S268" s="5"/>
      <c r="T268" s="5">
        <v>800</v>
      </c>
      <c r="U268" s="5"/>
      <c r="V268" s="5">
        <v>800</v>
      </c>
      <c r="W268" s="5"/>
      <c r="X268" s="5"/>
      <c r="Y268" s="5" t="s">
        <v>0</v>
      </c>
      <c r="Z268" s="5" t="s">
        <v>346</v>
      </c>
      <c r="AA268" s="5" t="s">
        <v>553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/>
      <c r="BF268" s="5">
        <v>1</v>
      </c>
      <c r="BG268" s="5"/>
      <c r="BH268" s="5">
        <v>1</v>
      </c>
      <c r="BI268" s="5"/>
      <c r="BJ268" s="5"/>
      <c r="BK268" s="5"/>
      <c r="BL268" s="5"/>
      <c r="BM268" s="5"/>
      <c r="BN268" s="5" t="s">
        <v>552</v>
      </c>
      <c r="BO268" s="5" t="s">
        <v>552</v>
      </c>
      <c r="BP268" s="5"/>
      <c r="BQ268" s="5"/>
      <c r="BR268" s="5"/>
      <c r="BS268" s="5"/>
      <c r="BT268" s="5"/>
      <c r="BU268" s="5"/>
      <c r="BV268" s="5"/>
      <c r="BW268" s="5" t="s">
        <v>551</v>
      </c>
      <c r="BX268" s="5"/>
      <c r="BY268" s="5"/>
      <c r="BZ268" s="5"/>
      <c r="CA268" s="5"/>
      <c r="CB268" s="7" t="s">
        <v>257</v>
      </c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</row>
    <row r="269" spans="1:109" x14ac:dyDescent="0.2">
      <c r="A269" s="5" t="str">
        <f>Column!$C269&amp;"_"&amp;Column!$G269</f>
        <v>Results_ResultId</v>
      </c>
      <c r="B269" s="5" t="s">
        <v>374</v>
      </c>
      <c r="C269" s="5" t="s">
        <v>373</v>
      </c>
      <c r="D269" s="5"/>
      <c r="E269" s="5"/>
      <c r="F269" s="5" t="s">
        <v>544</v>
      </c>
      <c r="G269" s="5" t="s">
        <v>375</v>
      </c>
      <c r="H269" s="5" t="s">
        <v>767</v>
      </c>
      <c r="I269" s="5">
        <v>4</v>
      </c>
      <c r="J269" s="5">
        <v>2</v>
      </c>
      <c r="K269" s="5"/>
      <c r="L269" s="5">
        <v>4</v>
      </c>
      <c r="M269" s="5">
        <v>4</v>
      </c>
      <c r="N269" s="5">
        <v>1</v>
      </c>
      <c r="O269" s="5"/>
      <c r="P269" s="5"/>
      <c r="Q269" s="5">
        <v>4</v>
      </c>
      <c r="R269" s="5">
        <v>1</v>
      </c>
      <c r="S269" s="5">
        <v>30</v>
      </c>
      <c r="T269" s="5">
        <v>4</v>
      </c>
      <c r="U269" s="5">
        <v>1</v>
      </c>
      <c r="V269" s="5">
        <v>4</v>
      </c>
      <c r="W269" s="5"/>
      <c r="X269" s="5"/>
      <c r="Y269" s="5" t="s">
        <v>30</v>
      </c>
      <c r="Z269" s="5"/>
      <c r="AA269" s="5"/>
      <c r="AB269" s="5"/>
      <c r="AC269" s="5"/>
      <c r="AD269" s="5">
        <v>10</v>
      </c>
      <c r="AE269" s="5"/>
      <c r="AF269" s="5">
        <v>2</v>
      </c>
      <c r="AG269" s="5"/>
      <c r="AH269" s="5">
        <v>1</v>
      </c>
      <c r="AI269" s="5"/>
      <c r="AJ269" s="5">
        <v>1</v>
      </c>
      <c r="AK269" s="5"/>
      <c r="AL269" s="5"/>
      <c r="AM269" s="5"/>
      <c r="AN269" s="5"/>
      <c r="AO269" s="5"/>
      <c r="AP269" s="5"/>
      <c r="AQ269" s="5"/>
      <c r="AR269" s="5">
        <v>1</v>
      </c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>
        <v>1</v>
      </c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>
        <v>30</v>
      </c>
      <c r="BQ269" s="5">
        <v>1</v>
      </c>
      <c r="BR269" s="5"/>
      <c r="BS269" s="5"/>
      <c r="BT269" s="5" t="s">
        <v>512</v>
      </c>
      <c r="BU269" s="5"/>
      <c r="BV269" s="5"/>
      <c r="BW269" s="5"/>
      <c r="BX269" s="5"/>
      <c r="BY269" s="5"/>
      <c r="BZ269" s="5"/>
      <c r="CA269" s="5"/>
      <c r="CB269" s="5" t="s">
        <v>113</v>
      </c>
      <c r="CC269" s="5">
        <v>1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2">
      <c r="A270" s="5" t="str">
        <f>Column!$C270&amp;"_"&amp;Column!$G270</f>
        <v>Results_Title</v>
      </c>
      <c r="B270" s="5" t="s">
        <v>374</v>
      </c>
      <c r="C270" s="5" t="s">
        <v>373</v>
      </c>
      <c r="D270" s="5"/>
      <c r="E270" s="5"/>
      <c r="F270" s="5" t="s">
        <v>544</v>
      </c>
      <c r="G270" s="5" t="s">
        <v>64</v>
      </c>
      <c r="H270" s="5" t="s">
        <v>621</v>
      </c>
      <c r="I270" s="5">
        <v>51</v>
      </c>
      <c r="J270" s="5">
        <v>51</v>
      </c>
      <c r="K270" s="5"/>
      <c r="L270" s="5">
        <v>51</v>
      </c>
      <c r="M270" s="5">
        <v>51</v>
      </c>
      <c r="N270" s="5"/>
      <c r="O270" s="5">
        <v>51</v>
      </c>
      <c r="P270" s="5"/>
      <c r="Q270" s="5">
        <v>51</v>
      </c>
      <c r="R270" s="5">
        <v>1</v>
      </c>
      <c r="S270" s="5">
        <v>51</v>
      </c>
      <c r="T270" s="5">
        <v>51</v>
      </c>
      <c r="U270" s="5">
        <v>1</v>
      </c>
      <c r="V270" s="5">
        <v>4</v>
      </c>
      <c r="W270" s="5">
        <v>1</v>
      </c>
      <c r="X270" s="5"/>
      <c r="Y270" s="5" t="s">
        <v>68</v>
      </c>
      <c r="Z270" s="5" t="s">
        <v>206</v>
      </c>
      <c r="AA270" s="5" t="s">
        <v>204</v>
      </c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>
        <v>1</v>
      </c>
      <c r="AX270" s="5"/>
      <c r="AY270" s="5"/>
      <c r="AZ270" s="5"/>
      <c r="BA270" s="5"/>
      <c r="BB270" s="5"/>
      <c r="BC270" s="5"/>
      <c r="BD270" s="5"/>
      <c r="BE270" s="5">
        <v>4</v>
      </c>
      <c r="BF270" s="5"/>
      <c r="BG270" s="5"/>
      <c r="BH270" s="5"/>
      <c r="BI270" s="5" t="s">
        <v>808</v>
      </c>
      <c r="BJ270" s="5" t="s">
        <v>586</v>
      </c>
      <c r="BK270" s="5" t="s">
        <v>603</v>
      </c>
      <c r="BL270" s="5"/>
      <c r="BM270" s="5"/>
      <c r="BN270" s="5"/>
      <c r="BO270" s="5"/>
      <c r="BP270" s="5">
        <v>1</v>
      </c>
      <c r="BQ270" s="5"/>
      <c r="BR270" s="5"/>
      <c r="BS270" s="5" t="s">
        <v>210</v>
      </c>
      <c r="BT270" s="5" t="s">
        <v>197</v>
      </c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</row>
    <row r="271" spans="1:109" x14ac:dyDescent="0.2">
      <c r="A271" s="5" t="str">
        <f>Column!$C271&amp;"_"&amp;Column!$G271</f>
        <v>Results_Status</v>
      </c>
      <c r="B271" s="5" t="s">
        <v>374</v>
      </c>
      <c r="C271" s="5" t="s">
        <v>373</v>
      </c>
      <c r="D271" s="5"/>
      <c r="E271" s="5"/>
      <c r="F271" s="5" t="s">
        <v>544</v>
      </c>
      <c r="G271" s="5" t="s">
        <v>44</v>
      </c>
      <c r="H271" s="5" t="s">
        <v>773</v>
      </c>
      <c r="I271" s="5">
        <v>101</v>
      </c>
      <c r="J271" s="5">
        <v>101</v>
      </c>
      <c r="K271" s="5"/>
      <c r="L271" s="5">
        <v>101</v>
      </c>
      <c r="M271" s="5">
        <v>101</v>
      </c>
      <c r="N271" s="5">
        <v>1</v>
      </c>
      <c r="O271" s="5">
        <v>101</v>
      </c>
      <c r="P271" s="5">
        <v>1</v>
      </c>
      <c r="Q271" s="5">
        <v>101</v>
      </c>
      <c r="R271" s="5">
        <v>1</v>
      </c>
      <c r="S271" s="5">
        <v>101</v>
      </c>
      <c r="T271" s="5">
        <v>101</v>
      </c>
      <c r="U271" s="5">
        <v>1</v>
      </c>
      <c r="V271" s="5">
        <v>101</v>
      </c>
      <c r="W271" s="5">
        <v>1</v>
      </c>
      <c r="X271" s="5"/>
      <c r="Y271" s="5" t="s">
        <v>1</v>
      </c>
      <c r="Z271" s="5" t="s">
        <v>203</v>
      </c>
      <c r="AA271" s="5" t="s">
        <v>204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200</v>
      </c>
      <c r="BF271" s="5"/>
      <c r="BG271" s="5"/>
      <c r="BH271" s="5"/>
      <c r="BI271" s="5" t="s">
        <v>809</v>
      </c>
      <c r="BJ271" s="5" t="s">
        <v>589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 t="s">
        <v>257</v>
      </c>
      <c r="CC271" s="7"/>
      <c r="CD271" s="7"/>
      <c r="CE271" s="7"/>
      <c r="CF271" s="7"/>
      <c r="CG271" s="7">
        <v>1</v>
      </c>
      <c r="CH271" s="7"/>
      <c r="CI271" s="6" t="s">
        <v>376</v>
      </c>
      <c r="CJ271" s="6"/>
      <c r="CK271" s="6">
        <v>100</v>
      </c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</row>
    <row r="272" spans="1:109" x14ac:dyDescent="0.2">
      <c r="A272" s="5" t="str">
        <f>Column!$C272&amp;"_"&amp;Column!$G272</f>
        <v>Results_Manager</v>
      </c>
      <c r="B272" s="5" t="s">
        <v>374</v>
      </c>
      <c r="C272" s="5" t="s">
        <v>373</v>
      </c>
      <c r="D272" s="5"/>
      <c r="E272" s="5"/>
      <c r="F272" s="5" t="s">
        <v>544</v>
      </c>
      <c r="G272" s="5" t="s">
        <v>367</v>
      </c>
      <c r="H272" s="5" t="s">
        <v>774</v>
      </c>
      <c r="I272" s="5">
        <v>102</v>
      </c>
      <c r="J272" s="5">
        <v>102</v>
      </c>
      <c r="K272" s="5"/>
      <c r="L272" s="5">
        <v>102</v>
      </c>
      <c r="M272" s="5">
        <v>102</v>
      </c>
      <c r="N272" s="5">
        <v>1</v>
      </c>
      <c r="O272" s="5">
        <v>102</v>
      </c>
      <c r="P272" s="5">
        <v>1</v>
      </c>
      <c r="Q272" s="5">
        <v>102</v>
      </c>
      <c r="R272" s="5">
        <v>1</v>
      </c>
      <c r="S272" s="5">
        <v>102</v>
      </c>
      <c r="T272" s="5">
        <v>102</v>
      </c>
      <c r="U272" s="5"/>
      <c r="V272" s="5">
        <v>102</v>
      </c>
      <c r="W272" s="5"/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810</v>
      </c>
      <c r="BJ272" s="5" t="s">
        <v>606</v>
      </c>
      <c r="BK272" s="5" t="s">
        <v>605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257</v>
      </c>
      <c r="CC272" s="7"/>
      <c r="CD272" s="7"/>
      <c r="CE272" s="7"/>
      <c r="CF272" s="7"/>
      <c r="CG272" s="7">
        <v>1</v>
      </c>
      <c r="CH272" s="7"/>
      <c r="CI272" s="5" t="s">
        <v>351</v>
      </c>
      <c r="CJ272" s="5"/>
      <c r="CK272" s="6" t="s">
        <v>592</v>
      </c>
      <c r="CL272" s="5">
        <v>1</v>
      </c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>
        <v>1</v>
      </c>
      <c r="DD272" s="5"/>
      <c r="DE272" s="5"/>
    </row>
    <row r="273" spans="1:109" x14ac:dyDescent="0.2">
      <c r="A273" s="5" t="str">
        <f>Column!$C273&amp;"_"&amp;Column!$G273</f>
        <v>Results_Owner</v>
      </c>
      <c r="B273" s="5" t="s">
        <v>374</v>
      </c>
      <c r="C273" s="5" t="s">
        <v>373</v>
      </c>
      <c r="D273" s="5"/>
      <c r="E273" s="5"/>
      <c r="F273" s="5" t="s">
        <v>544</v>
      </c>
      <c r="G273" s="5" t="s">
        <v>368</v>
      </c>
      <c r="H273" s="5" t="s">
        <v>775</v>
      </c>
      <c r="I273" s="5">
        <v>103</v>
      </c>
      <c r="J273" s="5">
        <v>103</v>
      </c>
      <c r="K273" s="5"/>
      <c r="L273" s="5">
        <v>103</v>
      </c>
      <c r="M273" s="5">
        <v>103</v>
      </c>
      <c r="N273" s="5">
        <v>1</v>
      </c>
      <c r="O273" s="5">
        <v>103</v>
      </c>
      <c r="P273" s="5">
        <v>1</v>
      </c>
      <c r="Q273" s="5">
        <v>103</v>
      </c>
      <c r="R273" s="5">
        <v>1</v>
      </c>
      <c r="S273" s="5">
        <v>103</v>
      </c>
      <c r="T273" s="5">
        <v>103</v>
      </c>
      <c r="U273" s="5">
        <v>1</v>
      </c>
      <c r="V273" s="5">
        <v>103</v>
      </c>
      <c r="W273" s="5">
        <v>1</v>
      </c>
      <c r="X273" s="5"/>
      <c r="Y273" s="5" t="s">
        <v>140</v>
      </c>
      <c r="Z273" s="5" t="s">
        <v>364</v>
      </c>
      <c r="AA273" s="5" t="s">
        <v>369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/>
      <c r="BG273" s="5"/>
      <c r="BH273" s="5"/>
      <c r="BI273" s="5" t="s">
        <v>810</v>
      </c>
      <c r="BJ273" s="5" t="s">
        <v>607</v>
      </c>
      <c r="BK273" s="5" t="s">
        <v>605</v>
      </c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>
        <v>1</v>
      </c>
      <c r="BZ273" s="5"/>
      <c r="CA273" s="5"/>
      <c r="CB273" s="7" t="s">
        <v>257</v>
      </c>
      <c r="CC273" s="7"/>
      <c r="CD273" s="7"/>
      <c r="CE273" s="7"/>
      <c r="CF273" s="7"/>
      <c r="CG273" s="7">
        <v>1</v>
      </c>
      <c r="CH273" s="7"/>
      <c r="CI273" s="5" t="s">
        <v>351</v>
      </c>
      <c r="CJ273" s="5"/>
      <c r="CK273" s="6" t="s">
        <v>592</v>
      </c>
      <c r="CL273" s="5">
        <v>1</v>
      </c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</row>
    <row r="274" spans="1:109" x14ac:dyDescent="0.2">
      <c r="A274" s="11" t="str">
        <f>Column!$C274&amp;"_"&amp;Column!$G274</f>
        <v>Results_SiteTitle</v>
      </c>
      <c r="B274" s="5" t="s">
        <v>374</v>
      </c>
      <c r="C274" s="5" t="s">
        <v>373</v>
      </c>
      <c r="D274" s="5"/>
      <c r="E274" s="5"/>
      <c r="F274" s="5" t="s">
        <v>544</v>
      </c>
      <c r="G274" s="11" t="s">
        <v>346</v>
      </c>
      <c r="H274" s="11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800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553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552</v>
      </c>
      <c r="BO274" s="5" t="s">
        <v>552</v>
      </c>
      <c r="BP274" s="5"/>
      <c r="BQ274" s="5"/>
      <c r="BR274" s="5"/>
      <c r="BS274" s="5"/>
      <c r="BT274" s="5"/>
      <c r="BU274" s="5"/>
      <c r="BV274" s="5"/>
      <c r="BW274" s="5" t="s">
        <v>551</v>
      </c>
      <c r="BX274" s="5"/>
      <c r="BY274" s="5"/>
      <c r="BZ274" s="5"/>
      <c r="CA274" s="5"/>
      <c r="CB274" s="7" t="s">
        <v>257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</row>
    <row r="275" spans="1:109" x14ac:dyDescent="0.2">
      <c r="A275" s="11" t="str">
        <f>Column!$C275&amp;"_"&amp;Column!$G275</f>
        <v>Wikis_WikiId</v>
      </c>
      <c r="B275" s="11" t="s">
        <v>398</v>
      </c>
      <c r="C275" s="11" t="s">
        <v>399</v>
      </c>
      <c r="D275" s="11"/>
      <c r="E275" s="11"/>
      <c r="F275" s="11" t="s">
        <v>400</v>
      </c>
      <c r="G275" s="11" t="s">
        <v>401</v>
      </c>
      <c r="H275" s="11" t="s">
        <v>767</v>
      </c>
      <c r="I275" s="11">
        <v>4</v>
      </c>
      <c r="J275" s="11">
        <v>2</v>
      </c>
      <c r="K275" s="11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/>
      <c r="T275" s="11">
        <v>4</v>
      </c>
      <c r="U275" s="5"/>
      <c r="V275" s="11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/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40</v>
      </c>
      <c r="BQ275" s="5">
        <v>1</v>
      </c>
      <c r="BR275" s="5"/>
      <c r="BS275" s="5"/>
      <c r="BT275" s="5" t="s">
        <v>514</v>
      </c>
      <c r="BU275" s="5"/>
      <c r="BV275" s="5"/>
      <c r="BW275" s="5"/>
      <c r="BX275" s="5"/>
      <c r="BY275" s="5"/>
      <c r="BZ275" s="5"/>
      <c r="CA275" s="5"/>
      <c r="CB275" s="5" t="s">
        <v>113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>
        <v>1</v>
      </c>
      <c r="DD275" s="5"/>
      <c r="DE275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佐藤 義之</cp:lastModifiedBy>
  <cp:lastPrinted>2015-05-31T19:18:01Z</cp:lastPrinted>
  <dcterms:created xsi:type="dcterms:W3CDTF">2014-08-17T13:04:54Z</dcterms:created>
  <dcterms:modified xsi:type="dcterms:W3CDTF">2019-06-17T04:12:39Z</dcterms:modified>
</cp:coreProperties>
</file>